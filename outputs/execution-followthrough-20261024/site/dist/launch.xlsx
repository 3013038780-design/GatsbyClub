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03c8130f1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启动测算" sheetId="1" r:id="R7861d1841c3f431a"/>
    <x:sheet xmlns:r="http://schemas.openxmlformats.org/officeDocument/2006/relationships" name="报价与条款" sheetId="2" r:id="Rda4108b8d8d94887"/>
    <x:sheet xmlns:r="http://schemas.openxmlformats.org/officeDocument/2006/relationships" name="产品卡与分工" sheetId="3" r:id="R3fe288645a38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—&quot;"/>
    <x:numFmt numFmtId="201" formatCode="0.0%"/>
    <x:numFmt numFmtId="202" formatCode="#,##0"/>
    <x:numFmt numFmtId="203" formatCode="#,##0.00"/>
  </x:numFmts>
  <x:fonts count="7">
    <x:font>
      <x:sz val="11"/>
      <x:name val="Carlito"/>
    </x:font>
    <x:font>
      <x:sz val="11"/>
      <x:color rgb="FF263746"/>
      <x:name val="Arial"/>
    </x:font>
    <x:font>
      <x:b/>
      <x:sz val="17"/>
      <x:color rgb="FF263746"/>
      <x:name val="Arial"/>
    </x:font>
    <x:font>
      <x:sz val="10"/>
      <x:color rgb="FF536674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  <x:font>
      <x:b/>
      <x:sz val="11"/>
      <x:color rgb="FF26374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63746"/>
      </x:patternFill>
    </x:fill>
    <x:fill>
      <x:patternFill patternType="solid">
        <x:fgColor rgb="FFE7EDF1"/>
      </x:patternFill>
    </x:fill>
    <x:fill>
      <x:patternFill patternType="solid">
        <x:fgColor rgb="FFFFFFFF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3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4a74bd7c244d5" /><Relationship Type="http://schemas.openxmlformats.org/officeDocument/2006/relationships/theme" Target="/xl/theme/theme1.xml" Id="R9ce2200ee96d4c9f" /><Relationship Type="http://schemas.openxmlformats.org/officeDocument/2006/relationships/sharedStrings" Target="/xl/sharedStrings.xml" Id="R5e716e9a01b9417d" /><Relationship Type="http://schemas.openxmlformats.org/officeDocument/2006/relationships/worksheet" Target="/xl/worksheets/sheet1.xml" Id="R7861d1841c3f431a" /><Relationship Type="http://schemas.openxmlformats.org/officeDocument/2006/relationships/worksheet" Target="/xl/worksheets/sheet2.xml" Id="Rda4108b8d8d94887" /><Relationship Type="http://schemas.openxmlformats.org/officeDocument/2006/relationships/worksheet" Target="/xl/worksheets/sheet3.xml" Id="R3fe288645a384e7b" /></Relationships>
</file>

<file path=xl/tables/table1.xml><?xml version="1.0" encoding="utf-8"?>
<x:table xmlns:x="http://schemas.openxmlformats.org/spreadsheetml/2006/main" id="1" name="QuoteTerms" displayName="QuoteTerms" ref="A5:I12" headerRowCount="1" totalsRowCount="0" totalsRowShown="0">
  <x:tableColumns count="9">
    <x:tableColumn id="1" name="编号"/>
    <x:tableColumn id="2" name="房价及房型"/>
    <x:tableColumn id="3" name="三晚页面总价"/>
    <x:tableColumn id="4" name="显示每晚均价"/>
    <x:tableColumn id="5" name="包含早餐及活动"/>
    <x:tableColumn id="6" name="预付款及取消"/>
    <x:tableColumn id="7" name="适用与证据"/>
    <x:tableColumn id="8" name="观察时间"/>
    <x:tableColumn id="9" name="入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unchProducts" displayName="LaunchProducts" ref="A5:G8" headerRowCount="1" totalsRowCount="0" totalsRowShown="0">
  <x:tableColumns count="7">
    <x:tableColumn id="1" name="产品"/>
    <x:tableColumn id="2" name="客户及首次购买理由"/>
    <x:tableColumn id="3" name="研究试价及包含"/>
    <x:tableColumn id="4" name="交付流程"/>
    <x:tableColumn id="5" name="团队与工时"/>
    <x:tableColumn id="6" name="回来参加的理由"/>
    <x:tableColumn id="7" name="待确认与负责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d2e5cd3d10d94016"/><Relationship Id="rIdLaunch1" Type="http://schemas.openxmlformats.org/officeDocument/2006/relationships/hyperlink" Target="https://www.marriott.com.cn/search/availabilityCalendar.mi?lengthOfStay=3&amp;fromDate=2026-11-19&amp;toDate=2026-11-22&amp;numberOfRooms=1&amp;numberOfAdults=1&amp;childrenCount=0&amp;clusterCode=none&amp;isHwsGroupSearch=true&amp;propertyCode=SYXXR&amp;useRewardsPoints=false&amp;flexibleDateSearch=false" TargetMode="External"/><Relationship Id="rIdLaunch2" Type="http://schemas.openxmlformats.org/officeDocument/2006/relationships/hyperlink" Target="https://www.marriott.com.cn/search/availabilityCalendar.mi?lengthOfStay=3&amp;fromDate=2026-11-19&amp;toDate=2026-11-22&amp;numberOfRooms=1&amp;numberOfAdults=1&amp;childrenCount=0&amp;clusterCode=none&amp;isHwsGroupSearch=true&amp;propertyCode=SYXXR&amp;useRewardsPoints=false&amp;flexibleDateSearch=false" TargetMode="External"/><Relationship Id="rIdLaunch3" Type="http://schemas.openxmlformats.org/officeDocument/2006/relationships/hyperlink" Target="https://www.marriott.com.cn/search/availabilityCalendar.mi?lengthOfStay=3&amp;fromDate=2026-11-19&amp;toDate=2026-11-22&amp;numberOfRooms=1&amp;numberOfAdults=1&amp;childrenCount=0&amp;clusterCode=none&amp;isHwsGroupSearch=true&amp;propertyCode=SYXXR&amp;useRewardsPoints=false&amp;flexibleDateSearch=false" TargetMode="External"/><Relationship Id="rIdLaunch4" Type="http://schemas.openxmlformats.org/officeDocument/2006/relationships/hyperlink" Target="https://www.marriott.com.cn/search/availabilityCalendar.mi?lengthOfStay=3&amp;fromDate=2026-11-19&amp;toDate=2026-11-22&amp;numberOfRooms=1&amp;numberOfAdults=1&amp;childrenCount=0&amp;clusterCode=none&amp;isHwsGroupSearch=true&amp;propertyCode=SYXXR&amp;useRewardsPoints=false&amp;flexibleDateSearch=false" TargetMode="External"/><Relationship Id="rIdLaunch5" Type="http://schemas.openxmlformats.org/officeDocument/2006/relationships/hyperlink" Target="https://www.marriott.com.cn/search/availabilityCalendar.mi?lengthOfStay=3&amp;fromDate=2026-11-19&amp;toDate=2026-11-22&amp;numberOfRooms=1&amp;numberOfAdults=1&amp;childrenCount=0&amp;clusterCode=none&amp;isHwsGroupSearch=true&amp;propertyCode=SYXXR&amp;useRewardsPoints=false&amp;flexibleDateSearch=false" TargetMode="External"/><Relationship Id="rIdLaunch6" Type="http://schemas.openxmlformats.org/officeDocument/2006/relationships/hyperlink" Target="https://www.marriott.com.cn/search/availabilityCalendar.mi?lengthOfStay=3&amp;fromDate=2026-11-19&amp;toDate=2026-11-22&amp;numberOfRooms=1&amp;numberOfAdults=1&amp;childrenCount=0&amp;clusterCode=none&amp;isHwsGroupSearch=true&amp;propertyCode=SYXXR&amp;useRewardsPoints=false&amp;flexibleDateSearch=false" TargetMode="External"/><Relationship Id="rIdLaunch7" Type="http://schemas.openxmlformats.org/officeDocument/2006/relationships/hyperlink" Target="https://hotels.ctrip.com/hotels/detail/?checkin=2026-11-19&amp;checkout=2026-11-22&amp;city=43&amp;adult=1&amp;crn=1&amp;hotelId=345074" TargetMode="External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d8f023044f4e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7" hidden="0" customWidth="1"/>
    <x:col min="5" max="5" width="18" hidden="0" customWidth="1"/>
    <x:col min="6" max="6" width="36" hidden="0" customWidth="1"/>
    <x:col min="7" max="7" width="22" hidden="0" customWidth="1"/>
    <x:col min="8" max="8" width="23" hidden="0" customWidth="1"/>
    <x:col min="9" max="9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5" customHeight="1">
      <x:c r="A2" s="3" t="str">
        <x:v>启动产品与交付测算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8" customHeight="1">
      <x:c r="A3" s="5" t="str">
        <x:v>沿用研究试价，新增三晚含早零售价参照；蓝字为可修改预算。贡献已含项目工时预算，未扣公司日常开支和税费。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人数情景 1低于预期 2基准 3满团</x:v>
      </x:c>
      <x:c r="B4" s="7" t="n">
        <x:v>2</x:v>
      </x:c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0" t="str">
        <x:v>单次经营项目</x:v>
      </x:c>
      <x:c r="B5" s="10" t="str">
        <x:v>北京单身主题晚宴</x:v>
      </x:c>
      <x:c r="C5" s="10" t="str">
        <x:v>北京经营者主题分享会</x:v>
      </x:c>
      <x:c r="D5" s="10" t="str">
        <x:v>三亚四天三晚单身小团</x:v>
      </x:c>
      <x:c r="E5" s="2"/>
      <x:c r="F5" s="10" t="str">
        <x:v>人数输入</x:v>
      </x:c>
      <x:c r="G5" s="10" t="str">
        <x:v>低于预期</x:v>
      </x:c>
      <x:c r="H5" s="10" t="str">
        <x:v>基准</x:v>
      </x:c>
      <x:c r="I5" s="10" t="str">
        <x:v>满团</x:v>
      </x:c>
      <x:c r="J5" s="2"/>
    </x:row>
    <x:row r="6" ht="27" customHeight="1">
      <x:c r="A6" s="2" t="str">
        <x:v>研究试价 元／人</x:v>
      </x:c>
      <x:c r="B6" s="15" t="n">
        <x:v>1680</x:v>
      </x:c>
      <x:c r="C6" s="15" t="n">
        <x:v>680</x:v>
      </x:c>
      <x:c r="D6" s="15" t="n">
        <x:v>19800</x:v>
      </x:c>
      <x:c r="E6" s="2"/>
      <x:c r="F6" s="2" t="str">
        <x:v>北京单身主题晚宴</x:v>
      </x:c>
      <x:c r="G6" s="7" t="n">
        <x:v>14</x:v>
      </x:c>
      <x:c r="H6" s="7" t="n">
        <x:v>20</x:v>
      </x:c>
      <x:c r="I6" s="7" t="n">
        <x:v>24</x:v>
      </x:c>
      <x:c r="J6" s="2"/>
    </x:row>
    <x:row r="7" ht="27" customHeight="1">
      <x:c r="A7" s="2" t="str">
        <x:v>当前人数</x:v>
      </x:c>
      <x:c r="B7" s="16" t="n">
        <x:f>CHOOSE($B$4,$G$6,$H$6,$I$6)</x:f>
        <x:v>20</x:v>
      </x:c>
      <x:c r="C7" s="16" t="n">
        <x:f>CHOOSE($B$4,$G$7,$H$7,$I$7)</x:f>
        <x:v>24</x:v>
      </x:c>
      <x:c r="D7" s="16" t="n">
        <x:f>CHOOSE($B$4,$G$8,$H$8,$I$8)</x:f>
        <x:v>14</x:v>
      </x:c>
      <x:c r="E7" s="2"/>
      <x:c r="F7" s="2" t="str">
        <x:v>北京经营者主题分享会</x:v>
      </x:c>
      <x:c r="G7" s="7" t="n">
        <x:v>16</x:v>
      </x:c>
      <x:c r="H7" s="7" t="n">
        <x:v>24</x:v>
      </x:c>
      <x:c r="I7" s="7" t="n">
        <x:v>30</x:v>
      </x:c>
      <x:c r="J7" s="2"/>
    </x:row>
    <x:row r="8" ht="27" customHeight="1">
      <x:c r="A8" s="2" t="str">
        <x:v>单人直接交付预算</x:v>
      </x:c>
      <x:c r="B8" s="15" t="n">
        <x:v>550</x:v>
      </x:c>
      <x:c r="C8" s="15" t="n">
        <x:v>160</x:v>
      </x:c>
      <x:c r="D8" s="16" t="n">
        <x:f>IF(H11&gt;0,H11+SUM(H12:H15),"缺少住宿预算")</x:f>
        <x:v>11370</x:v>
      </x:c>
      <x:c r="E8" s="2"/>
      <x:c r="F8" s="2" t="str">
        <x:v>三亚四天三晚单身小团</x:v>
      </x:c>
      <x:c r="G8" s="7" t="n">
        <x:v>10</x:v>
      </x:c>
      <x:c r="H8" s="7" t="n">
        <x:v>14</x:v>
      </x:c>
      <x:c r="I8" s="7" t="n">
        <x:v>16</x:v>
      </x:c>
      <x:c r="J8" s="2"/>
    </x:row>
    <x:row r="9" ht="27" customHeight="1">
      <x:c r="A9" s="2" t="str">
        <x:v>单人获客预算</x:v>
      </x:c>
      <x:c r="B9" s="15" t="n">
        <x:v>180</x:v>
      </x:c>
      <x:c r="C9" s="15" t="n">
        <x:v>100</x:v>
      </x:c>
      <x:c r="D9" s="15" t="n">
        <x:v>1200</x:v>
      </x:c>
      <x:c r="E9" s="2"/>
      <x:c r="F9" s="2"/>
      <x:c r="G9" s="2"/>
      <x:c r="H9" s="2"/>
      <x:c r="I9" s="2"/>
      <x:c r="J9" s="2"/>
    </x:row>
    <x:row r="10" ht="27" customHeight="1">
      <x:c r="A10" s="2" t="str">
        <x:v>固定交付及工时预算</x:v>
      </x:c>
      <x:c r="B10" s="15" t="n">
        <x:v>8500</x:v>
      </x:c>
      <x:c r="C10" s="15" t="n">
        <x:v>8000</x:v>
      </x:c>
      <x:c r="D10" s="15" t="n">
        <x:v>48000</x:v>
      </x:c>
      <x:c r="E10" s="2"/>
      <x:c r="F10" s="12" t="str">
        <x:v>旅行的可修改成本输入</x:v>
      </x:c>
      <x:c r="G10" s="12"/>
      <x:c r="H10" s="12"/>
      <x:c r="I10" s="12"/>
      <x:c r="J10" s="2"/>
    </x:row>
    <x:row r="11" ht="27" customHeight="1">
      <x:c r="A11" s="2" t="str">
        <x:v>退款金额占收款比例</x:v>
      </x:c>
      <x:c r="B11" s="17" t="n">
        <x:v>0.03</x:v>
      </x:c>
      <x:c r="C11" s="17" t="n">
        <x:v>0.03</x:v>
      </x:c>
      <x:c r="D11" s="17" t="n">
        <x:v>0.03</x:v>
      </x:c>
      <x:c r="E11" s="2"/>
      <x:c r="F11" s="13" t="str">
        <x:v>每人三晚住宿预算</x:v>
      </x:c>
      <x:c r="G11" s="13"/>
      <x:c r="H11" s="7" t="n">
        <x:v>7870</x:v>
      </x:c>
      <x:c r="I11" s="2"/>
      <x:c r="J11" s="2"/>
    </x:row>
    <x:row r="12" ht="27" customHeight="1">
      <x:c r="A12" s="2" t="str">
        <x:v>筹备现场回访总工时</x:v>
      </x:c>
      <x:c r="B12" s="15" t="n">
        <x:v>70</x:v>
      </x:c>
      <x:c r="C12" s="15" t="n">
        <x:v>52</x:v>
      </x:c>
      <x:c r="D12" s="15" t="n">
        <x:v>190</x:v>
      </x:c>
      <x:c r="E12" s="2"/>
      <x:c r="F12" s="13" t="str">
        <x:v>正餐预算每人全程</x:v>
      </x:c>
      <x:c r="G12" s="13"/>
      <x:c r="H12" s="7" t="n">
        <x:v>1600</x:v>
      </x:c>
      <x:c r="I12" s="2"/>
      <x:c r="J12" s="2"/>
    </x:row>
    <x:row r="13" ht="27" customHeight="1">
      <x:c r="A13" s="2" t="str">
        <x:v>旅行产品人数下限</x:v>
      </x:c>
      <x:c r="B13" s="16" t="str">
        <x:v>按场次审核</x:v>
      </x:c>
      <x:c r="C13" s="16" t="str">
        <x:v>按场次审核</x:v>
      </x:c>
      <x:c r="D13" s="16" t="n">
        <x:v>12</x:v>
      </x:c>
      <x:c r="E13" s="2"/>
      <x:c r="F13" s="13" t="str">
        <x:v>另购体验预算每人</x:v>
      </x:c>
      <x:c r="G13" s="13"/>
      <x:c r="H13" s="7" t="n">
        <x:v>1100</x:v>
      </x:c>
      <x:c r="I13" s="2"/>
      <x:c r="J13" s="2"/>
    </x:row>
    <x:row r="14" ht="27" customHeight="1">
      <x:c r="A14" s="2" t="str">
        <x:v>现场岗位人数</x:v>
      </x:c>
      <x:c r="B14" s="15" t="n">
        <x:v>3</x:v>
      </x:c>
      <x:c r="C14" s="15" t="n">
        <x:v>2</x:v>
      </x:c>
      <x:c r="D14" s="15" t="n">
        <x:v>3</x:v>
      </x:c>
      <x:c r="E14" s="2"/>
      <x:c r="F14" s="13" t="str">
        <x:v>保险物料每人</x:v>
      </x:c>
      <x:c r="G14" s="13"/>
      <x:c r="H14" s="7" t="n">
        <x:v>300</x:v>
      </x:c>
      <x:c r="I14" s="2"/>
      <x:c r="J14" s="2"/>
    </x:row>
    <x:row r="15" ht="27" customHeight="1">
      <x:c r="A15" s="2"/>
      <x:c r="B15" s="16"/>
      <x:c r="C15" s="16"/>
      <x:c r="D15" s="16"/>
      <x:c r="E15" s="2"/>
      <x:c r="F15" s="13" t="str">
        <x:v>协调服务每人</x:v>
      </x:c>
      <x:c r="G15" s="13"/>
      <x:c r="H15" s="7" t="n">
        <x:v>500</x:v>
      </x:c>
      <x:c r="I15" s="2"/>
      <x:c r="J15" s="2"/>
    </x:row>
    <x:row r="16" ht="27" customHeight="1">
      <x:c r="A16" s="2" t="str">
        <x:v>未扣退款收款额</x:v>
      </x:c>
      <x:c r="B16" s="16" t="n">
        <x:f>B6*B7</x:f>
        <x:v>33600</x:v>
      </x:c>
      <x:c r="C16" s="16" t="n">
        <x:f>C6*C7</x:f>
        <x:v>16320</x:v>
      </x:c>
      <x:c r="D16" s="16" t="n">
        <x:f>D6*D7</x:f>
        <x:v>277200</x:v>
      </x:c>
      <x:c r="E16" s="2"/>
      <x:c r="F16" s="5" t="str">
        <x:v>已含早餐；皮艇、观光船及旅拍不重复采购。</x:v>
      </x:c>
      <x:c r="G16" s="5"/>
      <x:c r="H16" s="5"/>
      <x:c r="I16" s="5"/>
      <x:c r="J16" s="2"/>
    </x:row>
    <x:row r="17" ht="27" customHeight="1">
      <x:c r="A17" s="2" t="str">
        <x:v>退款现金预留</x:v>
      </x:c>
      <x:c r="B17" s="16" t="n">
        <x:f>B16*B11</x:f>
        <x:v>1008</x:v>
      </x:c>
      <x:c r="C17" s="16" t="n">
        <x:f>C16*C11</x:f>
        <x:v>489.59999999999997</x:v>
      </x:c>
      <x:c r="D17" s="16" t="n">
        <x:f>D16*D11</x:f>
        <x:v>8316</x:v>
      </x:c>
      <x:c r="E17" s="2"/>
      <x:c r="F17" s="13" t="str">
        <x:v>每批车辆全程预算</x:v>
      </x:c>
      <x:c r="G17" s="13"/>
      <x:c r="H17" s="7" t="n">
        <x:v>9800</x:v>
      </x:c>
      <x:c r="I17" s="2"/>
      <x:c r="J17" s="2"/>
    </x:row>
    <x:row r="18" ht="27" customHeight="1">
      <x:c r="A18" s="12" t="str">
        <x:v>扣退款后收入</x:v>
      </x:c>
      <x:c r="B18" s="22" t="n">
        <x:f>B16-B17</x:f>
        <x:v>32592</x:v>
      </x:c>
      <x:c r="C18" s="22" t="n">
        <x:f>C16-C17</x:f>
        <x:v>15830.4</x:v>
      </x:c>
      <x:c r="D18" s="22" t="n">
        <x:f>D16-D17</x:f>
        <x:v>268884</x:v>
      </x:c>
      <x:c r="E18" s="2"/>
      <x:c r="F18" s="13" t="str">
        <x:v>每批车辆乘客位 不含司机</x:v>
      </x:c>
      <x:c r="G18" s="13"/>
      <x:c r="H18" s="7" t="n">
        <x:v>19</x:v>
      </x:c>
      <x:c r="I18" s="2"/>
      <x:c r="J18" s="2"/>
    </x:row>
    <x:row r="19" ht="27" customHeight="1">
      <x:c r="A19" s="2" t="str">
        <x:v>直接交付支出</x:v>
      </x:c>
      <x:c r="B19" s="16" t="n">
        <x:f>B8*B7</x:f>
        <x:v>11000</x:v>
      </x:c>
      <x:c r="C19" s="16" t="n">
        <x:f>C8*C7</x:f>
        <x:v>3840</x:v>
      </x:c>
      <x:c r="D19" s="16" t="n">
        <x:f>IF(ISNUMBER(D8),D8*D7,"缺少住宿预算")</x:f>
        <x:v>159180</x:v>
      </x:c>
      <x:c r="E19" s="2"/>
      <x:c r="F19" s="13"/>
      <x:c r="G19" s="13"/>
      <x:c r="H19" s="2"/>
      <x:c r="I19" s="2"/>
      <x:c r="J19" s="2"/>
    </x:row>
    <x:row r="20" ht="40" customHeight="1">
      <x:c r="A20" s="13" t="str">
        <x:v>车辆支出 单独按批计算</x:v>
      </x:c>
      <x:c r="B20" s="16" t="n">
        <x:f>0</x:f>
        <x:v>0</x:v>
      </x:c>
      <x:c r="C20" s="16" t="n">
        <x:f>0</x:f>
        <x:v>0</x:v>
      </x:c>
      <x:c r="D20" s="16" t="n">
        <x:f>ROUNDUP((D7+D14)/H18,0)*H17</x:f>
        <x:v>9800</x:v>
      </x:c>
      <x:c r="E20" s="2"/>
      <x:c r="F20" s="13" t="str">
        <x:v>酒店含税全价现金预留比例</x:v>
      </x:c>
      <x:c r="G20" s="13"/>
      <x:c r="H20" s="7" t="n">
        <x:v>1</x:v>
      </x:c>
      <x:c r="I20" s="2"/>
      <x:c r="J20" s="2"/>
    </x:row>
    <x:row r="21" ht="27" customHeight="1">
      <x:c r="A21" s="2" t="str">
        <x:v>获客支出</x:v>
      </x:c>
      <x:c r="B21" s="16" t="n">
        <x:f>B9*B7</x:f>
        <x:v>3600</x:v>
      </x:c>
      <x:c r="C21" s="16" t="n">
        <x:f>C9*C7</x:f>
        <x:v>2400</x:v>
      </x:c>
      <x:c r="D21" s="16" t="n">
        <x:f>D9*D7</x:f>
        <x:v>16800</x:v>
      </x:c>
      <x:c r="E21" s="2"/>
      <x:c r="F21" s="13" t="str">
        <x:v>其他直接支出预付比例</x:v>
      </x:c>
      <x:c r="G21" s="13"/>
      <x:c r="H21" s="7" t="n">
        <x:v>0.7</x:v>
      </x:c>
      <x:c r="I21" s="2"/>
      <x:c r="J21" s="2"/>
    </x:row>
    <x:row r="22" ht="27" customHeight="1">
      <x:c r="A22" s="2" t="str">
        <x:v>固定及工时支出</x:v>
      </x:c>
      <x:c r="B22" s="16" t="n">
        <x:f>B10</x:f>
        <x:v>8500</x:v>
      </x:c>
      <x:c r="C22" s="16" t="n">
        <x:f>C10</x:f>
        <x:v>8000</x:v>
      </x:c>
      <x:c r="D22" s="16" t="n">
        <x:f>D10</x:f>
        <x:v>48000</x:v>
      </x:c>
      <x:c r="E22" s="2"/>
      <x:c r="F22" s="13" t="str">
        <x:v>车辆预付比例</x:v>
      </x:c>
      <x:c r="G22" s="13"/>
      <x:c r="H22" s="7" t="n">
        <x:v>0.7</x:v>
      </x:c>
      <x:c r="I22" s="2"/>
      <x:c r="J22" s="2"/>
    </x:row>
    <x:row r="23" ht="27" customHeight="1">
      <x:c r="A23" s="12" t="str">
        <x:v>支出合计</x:v>
      </x:c>
      <x:c r="B23" s="22" t="n">
        <x:f>SUM(B19:B22)</x:f>
        <x:v>23100</x:v>
      </x:c>
      <x:c r="C23" s="22" t="n">
        <x:f>SUM(C19:C22)</x:f>
        <x:v>14240</x:v>
      </x:c>
      <x:c r="D23" s="22" t="n">
        <x:f>IF(ISNUMBER(D19),SUM(D19:D22),"需补住宿预算")</x:f>
        <x:v>233780</x:v>
      </x:c>
      <x:c r="E23" s="2"/>
      <x:c r="F23" s="2"/>
      <x:c r="G23" s="2"/>
      <x:c r="H23" s="2"/>
      <x:c r="I23" s="2"/>
      <x:c r="J23" s="2"/>
    </x:row>
    <x:row r="24" ht="27" customHeight="1">
      <x:c r="A24" s="12" t="str">
        <x:v>单次贡献</x:v>
      </x:c>
      <x:c r="B24" s="22" t="n">
        <x:f>B18-B23</x:f>
        <x:v>9492</x:v>
      </x:c>
      <x:c r="C24" s="22" t="n">
        <x:f>C18-C23</x:f>
        <x:v>1590.3999999999996</x:v>
      </x:c>
      <x:c r="D24" s="22" t="n">
        <x:f>IF(ISNUMBER(D23),D18-D23,"需补住宿预算")</x:f>
        <x:v>35104</x:v>
      </x:c>
      <x:c r="E24" s="2"/>
      <x:c r="F24" s="14" t="str">
        <x:v>住宿默认7870元来自报价表SR-BB，1人1房三晚含税含早零售价。14间库存与团体适用性未知；车辆9800元和其余成本仍为预算。酒店明细预付6750元，税费支付时点未单列，现金按全价占用保守处理。</x:v>
      </x:c>
      <x:c r="G24" s="14"/>
      <x:c r="H24" s="14"/>
      <x:c r="I24" s="14"/>
      <x:c r="J24" s="2"/>
    </x:row>
    <x:row r="25" ht="27" customHeight="1">
      <x:c r="A25" s="2" t="str">
        <x:v>贡献率</x:v>
      </x:c>
      <x:c r="B25" s="18" t="n">
        <x:f>IF(B18&gt;0,B24/B18,0)</x:f>
        <x:v>0.2912371134020619</x:v>
      </x:c>
      <x:c r="C25" s="18" t="n">
        <x:f>IF(C18&gt;0,C24/C18,0)</x:f>
        <x:v>0.10046492823933695</x:v>
      </x:c>
      <x:c r="D25" s="18" t="n">
        <x:f>IF(ISNUMBER(D24),D24/D18,"需补住宿预算")</x:f>
        <x:v>0.13055443983279036</x:v>
      </x:c>
      <x:c r="E25" s="2"/>
      <x:c r="F25" s="14"/>
      <x:c r="G25" s="14"/>
      <x:c r="H25" s="14"/>
      <x:c r="I25" s="14"/>
      <x:c r="J25" s="2"/>
    </x:row>
    <x:row r="26" ht="27" customHeight="1">
      <x:c r="A26" s="12" t="str">
        <x:v>财务保本人数</x:v>
      </x:c>
      <x:c r="B26" s="22" t="n">
        <x:f>IF(B6*(1-B11)-B8-B9&gt;0,ROUNDUP(B10/(B6*(1-B11)-B8-B9),0),"无保本人数")</x:f>
        <x:v>10</x:v>
      </x:c>
      <x:c r="C26" s="22" t="n">
        <x:f>IF(C6*(1-C11)-C8-C9&gt;0,ROUNDUP(C10/(C6*(1-C11)-C8-C9),0),"无保本人数")</x:f>
        <x:v>21</x:v>
      </x:c>
      <x:c r="D26" s="22" t="n">
        <x:f>IF(ISNUMBER(D8),IF(COUNTIF(H36:H51,"&gt;=0")=0,"本范围未保本",_xlfn.MINIFS(E36:E51,H36:H51,"&gt;=0")),"需补住宿预算")</x:f>
        <x:v>9</x:v>
      </x:c>
      <x:c r="E26" s="2"/>
      <x:c r="F26" s="14"/>
      <x:c r="G26" s="14"/>
      <x:c r="H26" s="14"/>
      <x:c r="I26" s="14"/>
      <x:c r="J26" s="2"/>
    </x:row>
    <x:row r="27" ht="40" customHeight="1">
      <x:c r="A27" s="13" t="str">
        <x:v>人数与交付提示</x:v>
      </x:c>
      <x:c r="B27" s="23" t="str">
        <x:v>另核实名和报名结构</x:v>
      </x:c>
      <x:c r="C27" s="23" t="str">
        <x:v>另核实名和报名结构</x:v>
      </x:c>
      <x:c r="D27" s="23" t="str">
        <x:f>IF(D7&gt;=D13,"达到人数下限；另核结构","低于产品人数下限")</x:f>
        <x:v>达到人数下限；另核结构</x:v>
      </x:c>
      <x:c r="E27" s="2"/>
      <x:c r="F27" s="14"/>
      <x:c r="G27" s="14"/>
      <x:c r="H27" s="14"/>
      <x:c r="I27" s="14"/>
      <x:c r="J27" s="2"/>
    </x:row>
    <x:row r="28" ht="27" customHeight="1">
      <x:c r="A28" s="2"/>
      <x:c r="B28" s="16"/>
      <x:c r="C28" s="16"/>
      <x:c r="D28" s="16"/>
      <x:c r="E28" s="2"/>
      <x:c r="F28" s="2"/>
      <x:c r="G28" s="2"/>
      <x:c r="H28" s="2"/>
      <x:c r="I28" s="2"/>
      <x:c r="J28" s="2"/>
    </x:row>
    <x:row r="29" ht="27" customHeight="1">
      <x:c r="A29" s="2" t="str">
        <x:v>客户首付款比例</x:v>
      </x:c>
      <x:c r="B29" s="17" t="n">
        <x:v>0.3</x:v>
      </x:c>
      <x:c r="C29" s="17" t="n">
        <x:v>0.3</x:v>
      </x:c>
      <x:c r="D29" s="17" t="n">
        <x:v>0.3</x:v>
      </x:c>
      <x:c r="E29" s="2"/>
      <x:c r="F29" s="2"/>
      <x:c r="G29" s="2"/>
      <x:c r="H29" s="2"/>
      <x:c r="I29" s="2"/>
      <x:c r="J29" s="2"/>
    </x:row>
    <x:row r="30" ht="27" customHeight="1">
      <x:c r="A30" s="2" t="str">
        <x:v>其他直接成本预付比例</x:v>
      </x:c>
      <x:c r="B30" s="17" t="n">
        <x:v>0.7</x:v>
      </x:c>
      <x:c r="C30" s="17" t="n">
        <x:v>0.7</x:v>
      </x:c>
      <x:c r="D30" s="20" t="n">
        <x:f>H21</x:f>
        <x:v>0.7</x:v>
      </x:c>
      <x:c r="E30" s="2"/>
      <x:c r="F30" s="2"/>
      <x:c r="G30" s="2"/>
      <x:c r="H30" s="2"/>
      <x:c r="I30" s="2"/>
      <x:c r="J30" s="2"/>
    </x:row>
    <x:row r="31" ht="27" customHeight="1">
      <x:c r="A31" s="2"/>
      <x:c r="B31" s="16"/>
      <x:c r="C31" s="16"/>
      <x:c r="D31" s="16"/>
      <x:c r="E31" s="2"/>
      <x:c r="F31" s="2"/>
      <x:c r="G31" s="2"/>
      <x:c r="H31" s="2"/>
      <x:c r="I31" s="2"/>
      <x:c r="J31" s="2"/>
    </x:row>
    <x:row r="32" ht="27" customHeight="1">
      <x:c r="A32" s="2" t="str">
        <x:v>首付款收入</x:v>
      </x:c>
      <x:c r="B32" s="16" t="n">
        <x:f>B16*B29</x:f>
        <x:v>10080</x:v>
      </x:c>
      <x:c r="C32" s="16" t="n">
        <x:f>C16*C29</x:f>
        <x:v>4896</x:v>
      </x:c>
      <x:c r="D32" s="16" t="n">
        <x:f>D16*D29</x:f>
        <x:v>83160</x:v>
      </x:c>
      <x:c r="E32" s="2"/>
      <x:c r="F32" s="2"/>
      <x:c r="G32" s="2"/>
      <x:c r="H32" s="2"/>
      <x:c r="I32" s="2"/>
      <x:c r="J32" s="2"/>
    </x:row>
    <x:row r="33" ht="40" customHeight="1">
      <x:c r="A33" s="13" t="str">
        <x:v>收首付款前筹备及获客现金</x:v>
      </x:c>
      <x:c r="B33" s="16" t="n">
        <x:f>B10*40%+B21</x:f>
        <x:v>7000</x:v>
      </x:c>
      <x:c r="C33" s="16" t="n">
        <x:f>C10*40%+C21</x:f>
        <x:v>5600</x:v>
      </x:c>
      <x:c r="D33" s="16" t="n">
        <x:f>D10*40%+D21</x:f>
        <x:v>36000</x:v>
      </x:c>
      <x:c r="E33" s="2"/>
      <x:c r="F33" s="2"/>
      <x:c r="G33" s="2"/>
      <x:c r="H33" s="2"/>
      <x:c r="I33" s="2"/>
      <x:c r="J33" s="2"/>
    </x:row>
    <x:row r="34" ht="40" customHeight="1">
      <x:c r="A34" s="13" t="str">
        <x:v>首付款阶段累计应付支出</x:v>
      </x:c>
      <x:c r="B34" s="16" t="n">
        <x:f>B19*B30+B21+B22</x:f>
        <x:v>19800</x:v>
      </x:c>
      <x:c r="C34" s="16" t="n">
        <x:f>C19*C30+C21+C22</x:f>
        <x:v>13088</x:v>
      </x:c>
      <x:c r="D34" s="16" t="n">
        <x:f>IF(ISNUMBER(D8),H11*D7*H20+SUM(H12:H15)*D7*D30+D20*H22+D21+D22,"需补住宿预算")</x:f>
        <x:v>216140</x:v>
      </x:c>
      <x:c r="E34" s="2"/>
      <x:c r="F34" s="2"/>
      <x:c r="G34" s="2"/>
      <x:c r="H34" s="2"/>
      <x:c r="I34" s="2"/>
      <x:c r="J34" s="2"/>
    </x:row>
    <x:row r="35" ht="40" customHeight="1">
      <x:c r="A35" s="13" t="str">
        <x:v>首付款收支净额</x:v>
      </x:c>
      <x:c r="B35" s="16" t="n">
        <x:f>B32-B34</x:f>
        <x:v>-9720</x:v>
      </x:c>
      <x:c r="C35" s="16" t="n">
        <x:f>C32-C34</x:f>
        <x:v>-8192</x:v>
      </x:c>
      <x:c r="D35" s="16" t="n">
        <x:f>IF(ISNUMBER(D34),D32-D34,"需补住宿预算")</x:f>
        <x:v>-132980</x:v>
      </x:c>
      <x:c r="E35" s="10" t="str">
        <x:v>旅行人数</x:v>
      </x:c>
      <x:c r="F35" s="10" t="str">
        <x:v>乘客位需求</x:v>
      </x:c>
      <x:c r="G35" s="10" t="str">
        <x:v>车辆批次</x:v>
      </x:c>
      <x:c r="H35" s="10" t="str">
        <x:v>单团贡献 元</x:v>
      </x:c>
      <x:c r="I35" s="2"/>
      <x:c r="J35" s="2"/>
    </x:row>
    <x:row r="36" ht="40" customHeight="1">
      <x:c r="A36" s="24" t="str">
        <x:v>保守启动周转金</x:v>
      </x:c>
      <x:c r="B36" s="22" t="n">
        <x:f>MAX(B33,-B35,0)+B17</x:f>
        <x:v>10728</x:v>
      </x:c>
      <x:c r="C36" s="22" t="n">
        <x:f>MAX(C33,-C35,0)+C17</x:f>
        <x:v>8681.6</x:v>
      </x:c>
      <x:c r="D36" s="22" t="n">
        <x:f>IF(ISNUMBER(D35),MAX(D33,-D35,0)+D17,"需补住宿预算")</x:f>
        <x:v>141296</x:v>
      </x:c>
      <x:c r="E36" s="2" t="n">
        <x:v>1</x:v>
      </x:c>
      <x:c r="F36" s="2" t="n">
        <x:f>E36+$D$14</x:f>
        <x:v>4</x:v>
      </x:c>
      <x:c r="G36" s="2" t="n">
        <x:f>ROUNDUP(F36/$H$18,0)</x:f>
        <x:v>1</x:v>
      </x:c>
      <x:c r="H36" s="16" t="n">
        <x:f>IF(ISNUMBER($D$8),$D$6*E36*(1-$D$11)-E36*($D$8+$D$9)-G36*$H$17-$D$10,"需补住宿预算")</x:f>
        <x:v>-51164</x:v>
      </x:c>
      <x:c r="I36" s="2"/>
      <x:c r="J36" s="2"/>
    </x:row>
    <x:row r="37" ht="40" customHeight="1">
      <x:c r="A37" s="24" t="str">
        <x:v>完成后余额 扣退款预留</x:v>
      </x:c>
      <x:c r="B37" s="22" t="n">
        <x:f>B16-B23-B17</x:f>
        <x:v>9492</x:v>
      </x:c>
      <x:c r="C37" s="22" t="n">
        <x:f>C16-C23-C17</x:f>
        <x:v>1590.4</x:v>
      </x:c>
      <x:c r="D37" s="22" t="n">
        <x:f>IF(ISNUMBER(D23),D16-D23-D17,"需补住宿预算")</x:f>
        <x:v>35104</x:v>
      </x:c>
      <x:c r="E37" s="2" t="n">
        <x:v>2</x:v>
      </x:c>
      <x:c r="F37" s="2" t="n">
        <x:f>E37+$D$14</x:f>
        <x:v>5</x:v>
      </x:c>
      <x:c r="G37" s="2" t="n">
        <x:f>ROUNDUP(F37/$H$18,0)</x:f>
        <x:v>1</x:v>
      </x:c>
      <x:c r="H37" s="16" t="n">
        <x:f>IF(ISNUMBER($D$8),$D$6*E37*(1-$D$11)-E37*($D$8+$D$9)-G37*$H$17-$D$10,"需补住宿预算")</x:f>
        <x:v>-44528</x:v>
      </x:c>
      <x:c r="I37" s="2"/>
      <x:c r="J37" s="2"/>
    </x:row>
    <x:row r="38">
      <x:c r="A38" s="2"/>
      <x:c r="B38" s="2"/>
      <x:c r="C38" s="2"/>
      <x:c r="D38" s="2"/>
      <x:c r="E38" s="2" t="n">
        <x:v>3</x:v>
      </x:c>
      <x:c r="F38" s="2" t="n">
        <x:f>E38+$D$14</x:f>
        <x:v>6</x:v>
      </x:c>
      <x:c r="G38" s="2" t="n">
        <x:f>ROUNDUP(F38/$H$18,0)</x:f>
        <x:v>1</x:v>
      </x:c>
      <x:c r="H38" s="16" t="n">
        <x:f>IF(ISNUMBER($D$8),$D$6*E38*(1-$D$11)-E38*($D$8+$D$9)-G38*$H$17-$D$10,"需补住宿预算")</x:f>
        <x:v>-37892</x:v>
      </x:c>
      <x:c r="I38" s="2"/>
      <x:c r="J38" s="2"/>
    </x:row>
    <x:row r="39">
      <x:c r="A39" s="2"/>
      <x:c r="B39" s="2"/>
      <x:c r="C39" s="2"/>
      <x:c r="D39" s="2"/>
      <x:c r="E39" s="2" t="n">
        <x:v>4</x:v>
      </x:c>
      <x:c r="F39" s="2" t="n">
        <x:f>E39+$D$14</x:f>
        <x:v>7</x:v>
      </x:c>
      <x:c r="G39" s="2" t="n">
        <x:f>ROUNDUP(F39/$H$18,0)</x:f>
        <x:v>1</x:v>
      </x:c>
      <x:c r="H39" s="16" t="n">
        <x:f>IF(ISNUMBER($D$8),$D$6*E39*(1-$D$11)-E39*($D$8+$D$9)-G39*$H$17-$D$10,"需补住宿预算")</x:f>
        <x:v>-31256</x:v>
      </x:c>
      <x:c r="I39" s="2"/>
      <x:c r="J39" s="2"/>
    </x:row>
    <x:row r="40" ht="27" customHeight="1">
      <x:c r="A40" s="13" t="str">
        <x:v>项目工时阶段</x:v>
      </x:c>
      <x:c r="B40" s="13" t="str">
        <x:v>旅行团队工时</x:v>
      </x:c>
      <x:c r="C40" s="13" t="str">
        <x:v>说明</x:v>
      </x:c>
      <x:c r="D40" s="2"/>
      <x:c r="E40" s="2" t="n">
        <x:v>5</x:v>
      </x:c>
      <x:c r="F40" s="2" t="n">
        <x:f>E40+$D$14</x:f>
        <x:v>8</x:v>
      </x:c>
      <x:c r="G40" s="2" t="n">
        <x:f>ROUNDUP(F40/$H$18,0)</x:f>
        <x:v>1</x:v>
      </x:c>
      <x:c r="H40" s="16" t="n">
        <x:f>IF(ISNUMBER($D$8),$D$6*E40*(1-$D$11)-E40*($D$8+$D$9)-G40*$H$17-$D$10,"需补住宿预算")</x:f>
        <x:v>-24620</x:v>
      </x:c>
      <x:c r="I40" s="2"/>
      <x:c r="J40" s="2"/>
    </x:row>
    <x:row r="41" ht="27" customHeight="1">
      <x:c r="A41" s="13" t="str">
        <x:v>筹备</x:v>
      </x:c>
      <x:c r="B41" s="13" t="n">
        <x:v>70</x:v>
      </x:c>
      <x:c r="C41" s="13" t="str">
        <x:v>预算，不是已测得工时</x:v>
      </x:c>
      <x:c r="D41" s="2"/>
      <x:c r="E41" s="2" t="n">
        <x:v>6</x:v>
      </x:c>
      <x:c r="F41" s="2" t="n">
        <x:f>E41+$D$14</x:f>
        <x:v>9</x:v>
      </x:c>
      <x:c r="G41" s="2" t="n">
        <x:f>ROUNDUP(F41/$H$18,0)</x:f>
        <x:v>1</x:v>
      </x:c>
      <x:c r="H41" s="16" t="n">
        <x:f>IF(ISNUMBER($D$8),$D$6*E41*(1-$D$11)-E41*($D$8+$D$9)-G41*$H$17-$D$10,"需补住宿预算")</x:f>
        <x:v>-17984</x:v>
      </x:c>
      <x:c r="I41" s="2"/>
      <x:c r="J41" s="2"/>
    </x:row>
    <x:row r="42" ht="27" customHeight="1">
      <x:c r="A42" s="13" t="str">
        <x:v>现场</x:v>
      </x:c>
      <x:c r="B42" s="13" t="n">
        <x:v>96</x:v>
      </x:c>
      <x:c r="C42" s="13" t="str">
        <x:v>3人×4天×8小时</x:v>
      </x:c>
      <x:c r="D42" s="2"/>
      <x:c r="E42" s="2" t="n">
        <x:v>7</x:v>
      </x:c>
      <x:c r="F42" s="2" t="n">
        <x:f>E42+$D$14</x:f>
        <x:v>10</x:v>
      </x:c>
      <x:c r="G42" s="2" t="n">
        <x:f>ROUNDUP(F42/$H$18,0)</x:f>
        <x:v>1</x:v>
      </x:c>
      <x:c r="H42" s="16" t="n">
        <x:f>IF(ISNUMBER($D$8),$D$6*E42*(1-$D$11)-E42*($D$8+$D$9)-G42*$H$17-$D$10,"需补住宿预算")</x:f>
        <x:v>-11348</x:v>
      </x:c>
      <x:c r="I42" s="2"/>
      <x:c r="J42" s="2"/>
    </x:row>
    <x:row r="43" ht="27" customHeight="1">
      <x:c r="A43" s="13" t="str">
        <x:v>回访</x:v>
      </x:c>
      <x:c r="B43" s="13" t="n">
        <x:v>24</x:v>
      </x:c>
      <x:c r="C43" s="13" t="str">
        <x:v>团队合计</x:v>
      </x:c>
      <x:c r="D43" s="2"/>
      <x:c r="E43" s="2" t="n">
        <x:v>8</x:v>
      </x:c>
      <x:c r="F43" s="2" t="n">
        <x:f>E43+$D$14</x:f>
        <x:v>11</x:v>
      </x:c>
      <x:c r="G43" s="2" t="n">
        <x:f>ROUNDUP(F43/$H$18,0)</x:f>
        <x:v>1</x:v>
      </x:c>
      <x:c r="H43" s="16" t="n">
        <x:f>IF(ISNUMBER($D$8),$D$6*E43*(1-$D$11)-E43*($D$8+$D$9)-G43*$H$17-$D$10,"需补住宿预算")</x:f>
        <x:v>-4712</x:v>
      </x:c>
      <x:c r="I43" s="2"/>
      <x:c r="J43" s="2"/>
    </x:row>
    <x:row r="44" ht="27" customHeight="1">
      <x:c r="A44" s="13" t="str">
        <x:v>旅行工时核对</x:v>
      </x:c>
      <x:c r="B44" s="13" t="n">
        <x:f>SUM(B41:B43)</x:f>
        <x:v>190</x:v>
      </x:c>
      <x:c r="C44" s="13"/>
      <x:c r="D44" s="2"/>
      <x:c r="E44" s="2" t="n">
        <x:v>9</x:v>
      </x:c>
      <x:c r="F44" s="2" t="n">
        <x:f>E44+$D$14</x:f>
        <x:v>12</x:v>
      </x:c>
      <x:c r="G44" s="2" t="n">
        <x:f>ROUNDUP(F44/$H$18,0)</x:f>
        <x:v>1</x:v>
      </x:c>
      <x:c r="H44" s="16" t="n">
        <x:f>IF(ISNUMBER($D$8),$D$6*E44*(1-$D$11)-E44*($D$8+$D$9)-G44*$H$17-$D$10,"需补住宿预算")</x:f>
        <x:v>1924</x:v>
      </x:c>
      <x:c r="I44" s="2"/>
      <x:c r="J44" s="2"/>
    </x:row>
    <x:row r="45">
      <x:c r="A45" s="2"/>
      <x:c r="B45" s="2"/>
      <x:c r="C45" s="2"/>
      <x:c r="D45" s="2"/>
      <x:c r="E45" s="2" t="n">
        <x:v>10</x:v>
      </x:c>
      <x:c r="F45" s="2" t="n">
        <x:f>E45+$D$14</x:f>
        <x:v>13</x:v>
      </x:c>
      <x:c r="G45" s="2" t="n">
        <x:f>ROUNDUP(F45/$H$18,0)</x:f>
        <x:v>1</x:v>
      </x:c>
      <x:c r="H45" s="16" t="n">
        <x:f>IF(ISNUMBER($D$8),$D$6*E45*(1-$D$11)-E45*($D$8+$D$9)-G45*$H$17-$D$10,"需补住宿预算")</x:f>
        <x:v>8560</x:v>
      </x:c>
      <x:c r="I45" s="2"/>
      <x:c r="J45" s="2"/>
    </x:row>
    <x:row r="46">
      <x:c r="A46" s="14" t="str">
        <x:v>周转金假设：固定成本和项目工时预算全部按现金支出预留。合伙人工时若暂不支付，实际外部现金需求会降低，需按真实结算重算。酒店按含税全价、其他直接成本及车辆按70%预付。</x:v>
      </x:c>
      <x:c r="B46" s="14"/>
      <x:c r="C46" s="14"/>
      <x:c r="D46" s="14"/>
      <x:c r="E46" s="2" t="n">
        <x:v>11</x:v>
      </x:c>
      <x:c r="F46" s="2" t="n">
        <x:f>E46+$D$14</x:f>
        <x:v>14</x:v>
      </x:c>
      <x:c r="G46" s="2" t="n">
        <x:f>ROUNDUP(F46/$H$18,0)</x:f>
        <x:v>1</x:v>
      </x:c>
      <x:c r="H46" s="16" t="n">
        <x:f>IF(ISNUMBER($D$8),$D$6*E46*(1-$D$11)-E46*($D$8+$D$9)-G46*$H$17-$D$10,"需补住宿预算")</x:f>
        <x:v>15196</x:v>
      </x:c>
      <x:c r="I46" s="2"/>
      <x:c r="J46" s="2"/>
    </x:row>
    <x:row r="47">
      <x:c r="A47" s="14"/>
      <x:c r="B47" s="14"/>
      <x:c r="C47" s="14"/>
      <x:c r="D47" s="14"/>
      <x:c r="E47" s="2" t="n">
        <x:v>12</x:v>
      </x:c>
      <x:c r="F47" s="2" t="n">
        <x:f>E47+$D$14</x:f>
        <x:v>15</x:v>
      </x:c>
      <x:c r="G47" s="2" t="n">
        <x:f>ROUNDUP(F47/$H$18,0)</x:f>
        <x:v>1</x:v>
      </x:c>
      <x:c r="H47" s="16" t="n">
        <x:f>IF(ISNUMBER($D$8),$D$6*E47*(1-$D$11)-E47*($D$8+$D$9)-G47*$H$17-$D$10,"需补住宿预算")</x:f>
        <x:v>21832</x:v>
      </x:c>
      <x:c r="I47" s="2"/>
      <x:c r="J47" s="2"/>
    </x:row>
    <x:row r="48">
      <x:c r="A48" s="14"/>
      <x:c r="B48" s="14"/>
      <x:c r="C48" s="14"/>
      <x:c r="D48" s="14"/>
      <x:c r="E48" s="2" t="n">
        <x:v>13</x:v>
      </x:c>
      <x:c r="F48" s="2" t="n">
        <x:f>E48+$D$14</x:f>
        <x:v>16</x:v>
      </x:c>
      <x:c r="G48" s="2" t="n">
        <x:f>ROUNDUP(F48/$H$18,0)</x:f>
        <x:v>1</x:v>
      </x:c>
      <x:c r="H48" s="16" t="n">
        <x:f>IF(ISNUMBER($D$8),$D$6*E48*(1-$D$11)-E48*($D$8+$D$9)-G48*$H$17-$D$10,"需补住宿预算")</x:f>
        <x:v>28468</x:v>
      </x:c>
      <x:c r="I48" s="2"/>
      <x:c r="J48" s="2"/>
    </x:row>
    <x:row r="49">
      <x:c r="A49" s="14"/>
      <x:c r="B49" s="14"/>
      <x:c r="C49" s="14"/>
      <x:c r="D49" s="14"/>
      <x:c r="E49" s="2" t="n">
        <x:v>14</x:v>
      </x:c>
      <x:c r="F49" s="2" t="n">
        <x:f>E49+$D$14</x:f>
        <x:v>17</x:v>
      </x:c>
      <x:c r="G49" s="2" t="n">
        <x:f>ROUNDUP(F49/$H$18,0)</x:f>
        <x:v>1</x:v>
      </x:c>
      <x:c r="H49" s="16" t="n">
        <x:f>IF(ISNUMBER($D$8),$D$6*E49*(1-$D$11)-E49*($D$8+$D$9)-G49*$H$17-$D$10,"需补住宿预算")</x:f>
        <x:v>35104</x:v>
      </x:c>
      <x:c r="I49" s="2"/>
      <x:c r="J49" s="2"/>
    </x:row>
    <x:row r="50">
      <x:c r="A50" s="14"/>
      <x:c r="B50" s="14"/>
      <x:c r="C50" s="14"/>
      <x:c r="D50" s="14"/>
      <x:c r="E50" s="2" t="n">
        <x:v>15</x:v>
      </x:c>
      <x:c r="F50" s="2" t="n">
        <x:f>E50+$D$14</x:f>
        <x:v>18</x:v>
      </x:c>
      <x:c r="G50" s="2" t="n">
        <x:f>ROUNDUP(F50/$H$18,0)</x:f>
        <x:v>1</x:v>
      </x:c>
      <x:c r="H50" s="16" t="n">
        <x:f>IF(ISNUMBER($D$8),$D$6*E50*(1-$D$11)-E50*($D$8+$D$9)-G50*$H$17-$D$10,"需补住宿预算")</x:f>
        <x:v>41740</x:v>
      </x:c>
      <x:c r="I50" s="2"/>
      <x:c r="J50" s="2"/>
    </x:row>
    <x:row r="51">
      <x:c r="A51" s="2"/>
      <x:c r="B51" s="2"/>
      <x:c r="C51" s="2"/>
      <x:c r="D51" s="2"/>
      <x:c r="E51" s="2" t="n">
        <x:v>16</x:v>
      </x:c>
      <x:c r="F51" s="2" t="n">
        <x:f>E51+$D$14</x:f>
        <x:v>19</x:v>
      </x:c>
      <x:c r="G51" s="2" t="n">
        <x:f>ROUNDUP(F51/$H$18,0)</x:f>
        <x:v>1</x:v>
      </x:c>
      <x:c r="H51" s="16" t="n">
        <x:f>IF(ISNUMBER($D$8),$D$6*E51*(1-$D$11)-E51*($D$8+$D$9)-G51*$H$17-$D$10,"需补住宿预算")</x:f>
        <x:v>48376</x:v>
      </x:c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8" customHeight="1">
      <x:c r="A54" s="12" t="str">
        <x:v>年度频次与人力承载  仅供改输入讨论</x:v>
      </x:c>
      <x:c r="B54" s="12"/>
      <x:c r="C54" s="12"/>
      <x:c r="D54" s="12"/>
      <x:c r="E54" s="12"/>
      <x:c r="F54" s="12"/>
      <x:c r="G54" s="12"/>
      <x:c r="H54" s="12"/>
      <x:c r="I54" s="1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36" customHeight="1">
      <x:c r="A56" s="10" t="str">
        <x:v>产品</x:v>
      </x:c>
      <x:c r="B56" s="10" t="str">
        <x:v>计划次数／年</x:v>
      </x:c>
      <x:c r="C56" s="10" t="str">
        <x:v>每次团队工时</x:v>
      </x:c>
      <x:c r="D56" s="10" t="str">
        <x:v>全年团队工时</x:v>
      </x:c>
      <x:c r="E56" s="10" t="str">
        <x:v>现场岗位人数</x:v>
      </x:c>
      <x:c r="F56" s="2"/>
      <x:c r="G56" s="13" t="str">
        <x:v>可投入团队人数</x:v>
      </x:c>
      <x:c r="H56" s="13"/>
      <x:c r="I56" s="7" t="n">
        <x:v>2</x:v>
      </x:c>
      <x:c r="J56" s="2"/>
    </x:row>
    <x:row r="57">
      <x:c r="A57" s="2" t="str">
        <x:v>北京单身主题晚宴</x:v>
      </x:c>
      <x:c r="B57" s="7" t="n">
        <x:v>6</x:v>
      </x:c>
      <x:c r="C57" s="2" t="n">
        <x:f>B12</x:f>
        <x:v>70</x:v>
      </x:c>
      <x:c r="D57" s="2" t="n">
        <x:f>B57*C57</x:f>
        <x:v>420</x:v>
      </x:c>
      <x:c r="E57" s="2" t="n">
        <x:f>B14</x:f>
        <x:v>3</x:v>
      </x:c>
      <x:c r="F57" s="2"/>
      <x:c r="G57" s="13" t="str">
        <x:v>每人每月可用项目工时</x:v>
      </x:c>
      <x:c r="H57" s="13"/>
      <x:c r="I57" s="7" t="n">
        <x:v>80</x:v>
      </x:c>
      <x:c r="J57" s="2"/>
    </x:row>
    <x:row r="58">
      <x:c r="A58" s="2" t="str">
        <x:v>北京经营者主题分享会</x:v>
      </x:c>
      <x:c r="B58" s="7" t="n">
        <x:v>6</x:v>
      </x:c>
      <x:c r="C58" s="2" t="n">
        <x:f>C12</x:f>
        <x:v>52</x:v>
      </x:c>
      <x:c r="D58" s="2" t="n">
        <x:f>B58*C58</x:f>
        <x:v>312</x:v>
      </x:c>
      <x:c r="E58" s="2" t="n">
        <x:f>C14</x:f>
        <x:v>2</x:v>
      </x:c>
      <x:c r="F58" s="2"/>
      <x:c r="G58" s="13" t="str">
        <x:v>可投入月份</x:v>
      </x:c>
      <x:c r="H58" s="13"/>
      <x:c r="I58" s="7" t="n">
        <x:v>12</x:v>
      </x:c>
      <x:c r="J58" s="2"/>
    </x:row>
    <x:row r="59">
      <x:c r="A59" s="2" t="str">
        <x:v>三亚四天三晚单身小团</x:v>
      </x:c>
      <x:c r="B59" s="7" t="n">
        <x:v>4</x:v>
      </x:c>
      <x:c r="C59" s="2" t="n">
        <x:f>D12</x:f>
        <x:v>190</x:v>
      </x:c>
      <x:c r="D59" s="2" t="n">
        <x:f>B59*C59</x:f>
        <x:v>760</x:v>
      </x:c>
      <x:c r="E59" s="2" t="n">
        <x:f>D14</x:f>
        <x:v>3</x:v>
      </x:c>
      <x:c r="F59" s="2"/>
      <x:c r="G59" s="13" t="str">
        <x:v>全年项目工时容量</x:v>
      </x:c>
      <x:c r="H59" s="13"/>
      <x:c r="I59" s="2" t="n">
        <x:f>I56*I57*I58</x:f>
        <x:v>1920</x:v>
      </x:c>
      <x:c r="J59" s="2"/>
    </x:row>
    <x:row r="60">
      <x:c r="A60" s="2"/>
      <x:c r="B60" s="2"/>
      <x:c r="C60" s="2"/>
      <x:c r="D60" s="2"/>
      <x:c r="E60" s="2"/>
      <x:c r="F60" s="2"/>
      <x:c r="G60" s="13" t="str">
        <x:v>计划工时占用率</x:v>
      </x:c>
      <x:c r="H60" s="13"/>
      <x:c r="I60" s="18" t="n">
        <x:f>SUM(D57:D59)/I59</x:f>
        <x:v>0.7770833333333333</x:v>
      </x:c>
      <x:c r="J60" s="2"/>
    </x:row>
    <x:row r="61">
      <x:c r="A61" s="2"/>
      <x:c r="B61" s="2"/>
      <x:c r="C61" s="2"/>
      <x:c r="D61" s="2"/>
      <x:c r="E61" s="2"/>
      <x:c r="F61" s="2"/>
      <x:c r="G61" s="13" t="str">
        <x:v>旅行现场另需岗位</x:v>
      </x:c>
      <x:c r="H61" s="13"/>
      <x:c r="I61" s="2" t="n">
        <x:f>MAX(D14-I56,0)</x:f>
        <x:v>1</x:v>
      </x:c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14" t="str">
        <x:v>年度工时够，不代表两个团能同时开。旅行默认需要3个现场岗位；2人团队仍需外部人员。没有确认的日期、客户和供应商时，6／6／4次仅是人力情景，不能写成年度销售计划。所有项目收入均按独立单次收费，未叠加年费。</x:v>
      </x:c>
      <x:c r="B63" s="14"/>
      <x:c r="C63" s="14"/>
      <x:c r="D63" s="14"/>
      <x:c r="E63" s="14"/>
      <x:c r="F63" s="14"/>
      <x:c r="G63" s="14"/>
      <x:c r="H63" s="14"/>
      <x:c r="I63" s="14"/>
      <x:c r="J63" s="2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2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mergeCells>
    <x:mergeCell ref="A2:I2"/>
    <x:mergeCell ref="A3:I3"/>
    <x:mergeCell ref="F10:I10"/>
    <x:mergeCell ref="F16:I16"/>
    <x:mergeCell ref="F24:I27"/>
    <x:mergeCell ref="A46:D50"/>
    <x:mergeCell ref="A54:I54"/>
    <x:mergeCell ref="A63:I65"/>
  </x:mergeCells>
  <x:dataValidations count="1">
    <x:dataValidation type="whole" operator="between" sqref="B4">
      <x:formula1>1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5" hidden="0" customWidth="1"/>
    <x:col min="3" max="3" width="20" hidden="0" customWidth="1"/>
    <x:col min="4" max="4" width="19" hidden="0" customWidth="1"/>
    <x:col min="5" max="5" width="61" hidden="0" customWidth="1"/>
    <x:col min="6" max="6" width="62" hidden="0" customWidth="1"/>
    <x:col min="7" max="7" width="64" hidden="0" customWidth="1"/>
    <x:col min="8" max="8" width="24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5" customHeight="1">
      <x:c r="A2" s="3" t="str">
        <x:v>三亚同日房型公开价格与条款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8" customHeight="1">
      <x:c r="A3" s="5" t="str">
        <x:v>2026-11-19至22日，1房1成人；官网为含税总价，携程为预订详情页应付总价且未单列税费。均未确认14间库存或团体价。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10" t="str">
        <x:v>编号</x:v>
      </x:c>
      <x:c r="B5" s="10" t="str">
        <x:v>房价及房型</x:v>
      </x:c>
      <x:c r="C5" s="10" t="str">
        <x:v>三晚页面总价</x:v>
      </x:c>
      <x:c r="D5" s="10" t="str">
        <x:v>显示每晚均价</x:v>
      </x:c>
      <x:c r="E5" s="10" t="str">
        <x:v>包含早餐及活动</x:v>
      </x:c>
      <x:c r="F5" s="10" t="str">
        <x:v>预付款及取消</x:v>
      </x:c>
      <x:c r="G5" s="10" t="str">
        <x:v>适用与证据</x:v>
      </x:c>
      <x:c r="H5" s="10" t="str">
        <x:v>观察时间</x:v>
      </x:c>
      <x:c r="I5" s="10" t="str">
        <x:v>入口</x:v>
      </x:c>
      <x:c r="J5" s="2"/>
    </x:row>
    <x:row r="6" ht="155" customHeight="1">
      <x:c r="A6" s="28" t="str">
        <x:v>SR-PRE</x:v>
      </x:c>
      <x:c r="B6" s="28" t="str">
        <x:v>预付含早餐
瑞吉青樾湾景观房 一张特大床 港景 阳台</x:v>
      </x:c>
      <x:c r="C6" s="29" t="n">
        <x:v>7240</x:v>
      </x:c>
      <x:c r="D6" s="29" t="n">
        <x:v>2413</x:v>
      </x:c>
      <x:c r="E6" s="28" t="str">
        <x:v>页面写早餐；人数未单列</x:v>
      </x:c>
      <x:c r="F6" s="28" t="str">
        <x:v>显示预付款6210元
预订不可更改；显示2026-10-25 23:59前可免费取消，之后预付款不退</x:v>
      </x:c>
      <x:c r="G6" s="28" t="str">
        <x:v>1间客房、1位成人的零售公开价；未证明可按此价取得14间房；不是旅行社或酒店团体书面报价
页面预付款以税前房费金额列示，余下税费付款时点未单独说明；现金模型按含税全价占用保守测算。</x:v>
      </x:c>
      <x:c r="H6" s="28" t="str">
        <x:v>2026-10-24 12:51</x:v>
      </x:c>
      <x:c r="I6" s="28" t="str">
        <x:v>查看官网</x:v>
      </x:c>
      <x:c r="J6" s="2"/>
    </x:row>
    <x:row r="7" ht="155" customHeight="1">
      <x:c r="A7" s="26" t="str">
        <x:v>SR-FLEX</x:v>
      </x:c>
      <x:c r="B7" s="26" t="str">
        <x:v>普通灵活退改
瑞吉青樾湾景观房 一张特大床 港景 阳台</x:v>
      </x:c>
      <x:c r="C7" s="27" t="n">
        <x:v>7520</x:v>
      </x:c>
      <x:c r="D7" s="27" t="n">
        <x:v>2506</x:v>
      </x:c>
      <x:c r="E7" s="26" t="str">
        <x:v>该档未写包含早餐</x:v>
      </x:c>
      <x:c r="F7" s="26" t="str">
        <x:v>显示预付款6450元
明细显示2026-10-25 23:59后取消预计扣6450元，即全部晚数房费</x:v>
      </x:c>
      <x:c r="G7" s="26" t="str">
        <x:v>1间客房、1位成人的零售公开价；未证明可按此价取得14间房；不是旅行社或酒店团体书面报价
页面预付款以税前房费金额列示，余下税费付款时点未单独说明；现金模型按含税全价占用保守测算。</x:v>
      </x:c>
      <x:c r="H7" s="26" t="str">
        <x:v>2026-10-24 12:51</x:v>
      </x:c>
      <x:c r="I7" s="26" t="str">
        <x:v>查看官网</x:v>
      </x:c>
      <x:c r="J7" s="2"/>
    </x:row>
    <x:row r="8" ht="155" customHeight="1">
      <x:c r="A8" s="28" t="str">
        <x:v>SR-MFLEX</x:v>
      </x:c>
      <x:c r="B8" s="28" t="str">
        <x:v>会员灵活退改
瑞吉青樾湾景观房 一张特大床 港景 阳台</x:v>
      </x:c>
      <x:c r="C8" s="29" t="n">
        <x:v>7144</x:v>
      </x:c>
      <x:c r="D8" s="29" t="n">
        <x:v>2381</x:v>
      </x:c>
      <x:c r="E8" s="28" t="str">
        <x:v>该档未写包含早餐</x:v>
      </x:c>
      <x:c r="F8" s="28" t="str">
        <x:v>未独立展开预付款
本次未展开该会员档独立条款，不套用普通档退款日</x:v>
      </x:c>
      <x:c r="G8" s="28" t="str">
        <x:v>1间客房、1位成人的零售公开价；未证明可按此价取得14间房；不是旅行社或酒店团体书面报价
页面预付款以税前房费金额列示，余下税费付款时点未单独说明；现金模型按含税全价占用保守测算。</x:v>
      </x:c>
      <x:c r="H8" s="28" t="str">
        <x:v>2026-10-24 12:51</x:v>
      </x:c>
      <x:c r="I8" s="28" t="str">
        <x:v>查看官网</x:v>
      </x:c>
      <x:c r="J8" s="2"/>
    </x:row>
    <x:row r="9" ht="155" customHeight="1">
      <x:c r="A9" s="26" t="str">
        <x:v>SR-BB</x:v>
      </x:c>
      <x:c r="B9" s="26" t="str">
        <x:v>普通含早套餐
瑞吉青樾湾景观房 一张特大床 港景 阳台</x:v>
      </x:c>
      <x:c r="C9" s="27" t="n">
        <x:v>7870</x:v>
      </x:c>
      <x:c r="D9" s="27" t="n">
        <x:v>2623</x:v>
      </x:c>
      <x:c r="E9" s="26" t="str">
        <x:v>每天2成人及2位6岁以下儿童早餐；本次按1位成人查询
首日欢迎水果和迷你吧；每次入住一次双人皮划艇；入夜马刀开香槟仪式；彩虹滑梯和小火车体验；30分钟家庭旅拍、7张电子照及15秒视频；免税优惠券和免税城班车；连住至少2晚另含一次双人珊瑚观光船</x:v>
      </x:c>
      <x:c r="F9" s="26" t="str">
        <x:v>显示预付款6750元
明细显示2026-10-25 23:59后取消预计扣6750元，即全部晚数房费</x:v>
      </x:c>
      <x:c r="G9" s="26" t="str">
        <x:v>1间客房、1位成人的零售公开价；未证明可按此价取得14间房；不是旅行社或酒店团体书面报价
页面预付款以税前房费金额列示，余下税费付款时点未单独说明；现金模型按含税全价占用保守测算。</x:v>
      </x:c>
      <x:c r="H9" s="26" t="str">
        <x:v>2026-10-24 12:51</x:v>
      </x:c>
      <x:c r="I9" s="26" t="str">
        <x:v>查看官网</x:v>
      </x:c>
      <x:c r="J9" s="2"/>
    </x:row>
    <x:row r="10" ht="155" customHeight="1">
      <x:c r="A10" s="28" t="str">
        <x:v>SR-MBB</x:v>
      </x:c>
      <x:c r="B10" s="28" t="str">
        <x:v>会员含早套餐
瑞吉青樾湾景观房 一张特大床 港景 阳台</x:v>
      </x:c>
      <x:c r="C10" s="29" t="n">
        <x:v>7478</x:v>
      </x:c>
      <x:c r="D10" s="29" t="n">
        <x:v>2492</x:v>
      </x:c>
      <x:c r="E10" s="28" t="str">
        <x:v>每天2人早餐</x:v>
      </x:c>
      <x:c r="F10" s="28" t="str">
        <x:v>未独立展开预付款
该会员档退款及预付款时点未独立展开</x:v>
      </x:c>
      <x:c r="G10" s="28" t="str">
        <x:v>1间客房、1位成人的零售公开价；未证明可按此价取得14间房；不是旅行社或酒店团体书面报价
页面预付款以税前房费金额列示，余下税费付款时点未单独说明；现金模型按含税全价占用保守测算。</x:v>
      </x:c>
      <x:c r="H10" s="28" t="str">
        <x:v>2026-10-24 12:51</x:v>
      </x:c>
      <x:c r="I10" s="28" t="str">
        <x:v>查看官网</x:v>
      </x:c>
      <x:c r="J10" s="2"/>
    </x:row>
    <x:row r="11" ht="155" customHeight="1">
      <x:c r="A11" s="26" t="str">
        <x:v>SR-TWIN</x:v>
      </x:c>
      <x:c r="B11" s="26" t="str">
        <x:v>双大床预付含早
瑞吉青樾湾景观房 两张大床 港景 阳台</x:v>
      </x:c>
      <x:c r="C11" s="27" t="n">
        <x:v>7004</x:v>
      </x:c>
      <x:c r="D11" s="27" t="n">
        <x:v>2334</x:v>
      </x:c>
      <x:c r="E11" s="26" t="str">
        <x:v>页面写早餐；人数未单列</x:v>
      </x:c>
      <x:c r="F11" s="26" t="str">
        <x:v>未独立展开预付款
该双床档明细未独立展开；不能直接套用特大床全部条款</x:v>
      </x:c>
      <x:c r="G11" s="26" t="str">
        <x:v>1间客房、1位成人的零售公开价；未证明可按此价取得14间房；不是旅行社或酒店团体书面报价
页面预付款以税前房费金额列示，余下税费付款时点未单独说明；现金模型按含税全价占用保守测算。</x:v>
      </x:c>
      <x:c r="H11" s="26" t="str">
        <x:v>2026-10-24 12:51</x:v>
      </x:c>
      <x:c r="I11" s="26" t="str">
        <x:v>查看官网</x:v>
      </x:c>
      <x:c r="J11" s="2"/>
    </x:row>
    <x:row r="12" ht="190" customHeight="1">
      <x:c r="A12" s="28" t="str">
        <x:v>CTR-BB</x:v>
      </x:c>
      <x:c r="B12" s="28" t="str">
        <x:v>携程已登录会话含早套餐
瑞吉青樾湾景观大床房，1张2米特大床，73平方米</x:v>
      </x:c>
      <x:c r="C12" s="30" t="n">
        <x:v>7240.86</x:v>
      </x:c>
      <x:c r="D12" s="29" t="n">
        <x:v>2414</x:v>
      </x:c>
      <x:c r="E12" s="28" t="str">
        <x:v>2份早餐
双人30分钟皮划艇或桨板二选一；双人PADI潜水培训体验课；泳池泡泡秀及儿童乐园项目；庄园小火车；旅拍15秒视频和7张电子底片；自由浮潜及魔毯体验；浮潜面罩另付60元</x:v>
      </x:c>
      <x:c r="F12" s="28" t="str">
        <x:v>显示预付款7240.86元
2026-10-24 23:59前免费取消；之后不可取消，未入住收7240.86元（优惠券积分另按实际支付）</x:v>
      </x:c>
      <x:c r="G12" s="28" t="str">
        <x:v>搜索1房1成人；结算页写房型可住2人。1间三晚零售报价，未取得14间库存及团体价
详情页列在线支付7240.86元，与三晚合计一致；未另列税费。订单仍须供应商确认。未点击最后一步、未提交订单。</x:v>
      </x:c>
      <x:c r="H12" s="28" t="str">
        <x:v>2026-10-24 15:23</x:v>
      </x:c>
      <x:c r="I12" s="28" t="str">
        <x:v>查看官网</x:v>
      </x:c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14" t="str">
        <x:v>普通含早套餐7870元用于当前住宿预算。万豪会员价、预付价、纯房价不互相替代。官网同房型1间价格不能保证整团获得同价；酒店资料及截图见资料包。携程同日含早大床三晚7240.86元已核验，免费取消截止10月24日23:59；套餐赠送与官网不同。</x:v>
      </x:c>
      <x:c r="B14" s="14"/>
      <x:c r="C14" s="14"/>
      <x:c r="D14" s="14"/>
      <x:c r="E14" s="14"/>
      <x:c r="F14" s="14"/>
      <x:c r="G14" s="14"/>
      <x:c r="H14" s="14"/>
      <x:c r="I14" s="14"/>
      <x:c r="J14" s="2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2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mergeCells>
    <x:mergeCell ref="A2:I2"/>
    <x:mergeCell ref="A3:I3"/>
    <x:mergeCell ref="A14:I16"/>
  </x:mergeCells>
  <x:hyperlinks>
    <x:hyperlink xmlns:ns1="http://schemas.openxmlformats.org/officeDocument/2006/relationships" ref="I6" ns1:id="rIdLaunch1"/>
    <x:hyperlink xmlns:ns2="http://schemas.openxmlformats.org/officeDocument/2006/relationships" ref="I7" ns2:id="rIdLaunch2"/>
    <x:hyperlink xmlns:ns3="http://schemas.openxmlformats.org/officeDocument/2006/relationships" ref="I8" ns3:id="rIdLaunch3"/>
    <x:hyperlink xmlns:ns4="http://schemas.openxmlformats.org/officeDocument/2006/relationships" ref="I9" ns4:id="rIdLaunch4"/>
    <x:hyperlink xmlns:ns5="http://schemas.openxmlformats.org/officeDocument/2006/relationships" ref="I10" ns5:id="rIdLaunch5"/>
    <x:hyperlink xmlns:ns6="http://schemas.openxmlformats.org/officeDocument/2006/relationships" ref="I11" ns6:id="rIdLaunch6"/>
    <x:hyperlink xmlns:ns7="http://schemas.openxmlformats.org/officeDocument/2006/relationships" ref="I12" ns7:id="rIdLaunch7"/>
  </x:hyperlinks>
  <x:pageMargins left="0.7" right="0.7" top="0.75" bottom="0.75" header="0.3" footer="0.3"/>
  <x:tableParts count="1">
    <x:tablePart xmlns:r="http://schemas.openxmlformats.org/officeDocument/2006/relationships" r:id="Rd2e5cd3d10d940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3" hidden="0" customWidth="1"/>
    <x:col min="3" max="3" width="65" hidden="0" customWidth="1"/>
    <x:col min="4" max="4" width="83" hidden="0" customWidth="1"/>
    <x:col min="5" max="5" width="57" hidden="0" customWidth="1"/>
    <x:col min="6" max="6" width="60" hidden="0" customWidth="1"/>
    <x:col min="7" max="7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5" customHeight="1">
      <x:c r="A2" s="3" t="str">
        <x:v>首发产品卡与需要核实的分工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8" customHeight="1">
      <x:c r="A3" s="5" t="str">
        <x:v>保留旧初案供讨论；客群、城市、日期、资产口径和试价尚未最终确定。商业活动可服务有伴侣及已婚客户，婚恋专场单独筛选。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10" t="str">
        <x:v>产品</x:v>
      </x:c>
      <x:c r="B5" s="10" t="str">
        <x:v>客户及首次购买理由</x:v>
      </x:c>
      <x:c r="C5" s="10" t="str">
        <x:v>研究试价及包含</x:v>
      </x:c>
      <x:c r="D5" s="10" t="str">
        <x:v>交付流程</x:v>
      </x:c>
      <x:c r="E5" s="10" t="str">
        <x:v>团队与工时</x:v>
      </x:c>
      <x:c r="F5" s="10" t="str">
        <x:v>回来参加的理由</x:v>
      </x:c>
      <x:c r="G5" s="10" t="str">
        <x:v>待确认与负责人</x:v>
      </x:c>
      <x:c r="H5" s="2"/>
      <x:c r="I5" s="2"/>
      <x:c r="J5" s="2"/>
    </x:row>
    <x:row r="6" ht="330" customHeight="1">
      <x:c r="A6" s="28" t="str">
        <x:v>北京单身主题晚宴</x:v>
      </x:c>
      <x:c r="B6" s="28" t="str">
        <x:v>北京仅作测算城市；目标A8及以上、真实单身且有稳定关系意愿的人。个人或家庭资产口径、年龄带待合伙人确认。访谈分别覆盖经营者、接班二代、专业人士及离异后重建关系者。
付费买一桌经过双方意愿审核、交流节奏舒适、能够再次见面的同行者，以及正式晚餐。</x:v>
      </x:c>
      <x:c r="C6" s="28" t="str">
        <x:v>1680元／人，仅研究试价
一人一席、餐食及约定饮品、行前20分钟沟通、主持与分组、双方同意的后续联系；不含旅行团费、不承诺配对成功。</x:v>
      </x:c>
      <x:c r="D6" s="28" t="str">
        <x:v>活动前7至3天 20分钟沟通并核对关系状态、资产口径与偏好，发匿名群体构成，不发资产凭证
18:30至19:00 接待及双人轻话题，按兴趣而非资产排座
19:00至19:20 主持说明边界，桌内介绍，每人约2分钟
19:20至20:10 第一段用餐与共同话题，主持照顾安静参与者
20:10至20:40 一次自愿换桌，避免全程轮转面试
20:40至21:10 旅行样例与匿名意向，随后自由交流
次日私下回访，72小时内双方同意后介绍；7日内确认旅行日期偏好</x:v>
      </x:c>
      <x:c r="E6" s="28" t="str">
        <x:v>主理人1、主持1、接待及成员服务1；餐厅人员另由场地提供
团队合计70小时</x:v>
      </x:c>
      <x:c r="F6" s="28" t="str">
        <x:v>先记录愿意再次见面的人和可出行日期，再邀请旅行说明会。无适配旅行者可继续主题活动。</x:v>
      </x:c>
      <x:c r="G6" s="28" t="str">
        <x:v>Olivia：客户访谈和同条件询价；格格：可兑现资源；双方：A8口径、城市、日期、预算与执行人员。</x:v>
      </x:c>
      <x:c r="H6" s="2"/>
      <x:c r="I6" s="2"/>
      <x:c r="J6" s="2"/>
    </x:row>
    <x:row r="7" ht="330" customHeight="1">
      <x:c r="A7" s="26" t="str">
        <x:v>北京经营者主题分享会</x:v>
      </x:c>
      <x:c r="B7" s="26" t="str">
        <x:v>目标为A8及以上经营者、业务负责人及专业服务合伙人；单身、恋爱中、已婚均可。具体年龄带和资产口径待确认，围绕真实经营问题组织。
一位有实际案例的分享者，足够小的讨论组，以及可以持续互助的经营同行。</x:v>
      </x:c>
      <x:c r="C7" s="26" t="str">
        <x:v>680元／人，仅研究试价
分享、分组讨论、茶歇、事后问题纪要；不含私董会年度服务、融资或商业引荐承诺。</x:v>
      </x:c>
      <x:c r="D7" s="26" t="str">
        <x:v>活动前收集一个真实经营问题，并确认是否可以匿名讨论
14:00至14:20 签到与同行介绍
14:20至15:00 分享一个具体经营案例，保留失败与取舍
15:00至15:20 问答
15:20至16:10 5人小组讨论，每人有发言时间
16:10至16:40 小组回报与方法总结
16:40至17:00 自由交流与下一期主题投票
48小时内发经授权纪要；14日后回访是否用了一个方法</x:v>
      </x:c>
      <x:c r="E7" s="26" t="str">
        <x:v>分享者1、主持1、运营1；需要分享者授权与案例准备
团队合计52小时</x:v>
      </x:c>
      <x:c r="F7" s="26" t="str">
        <x:v>围绕同一问题做后续小组，验证第二次付费。婚恋邀约只面向自愿报名单身者。</x:v>
      </x:c>
      <x:c r="G7" s="26" t="str">
        <x:v>Olivia：客户访谈和同条件询价；格格：可兑现资源；双方：A8口径、城市、日期、预算与执行人员。</x:v>
      </x:c>
      <x:c r="H7" s="2"/>
      <x:c r="I7" s="2"/>
      <x:c r="J7" s="2"/>
    </x:row>
    <x:row r="8" ht="330" customHeight="1">
      <x:c r="A8" s="28" t="str">
        <x:v>三亚四天三晚单身小团</x:v>
      </x:c>
      <x:c r="B8" s="28" t="str">
        <x:v>与婚恋晚宴服务同一批A8及以上、真实单身客户；周四至周日和独住为产品讨论条件，年龄带与个人或家庭资产口径待合伙人确认。
买经过筛选的同行者、独立房间、节奏舒适的连续相处，以及有边界的私密社交组织。</x:v>
      </x:c>
      <x:c r="C8" s="28" t="str">
        <x:v>19800元／人，仅研究试价
三晚每人独住基础房、约定正餐、当地接送与用车、一项低强度共同体验、领队及社交主持、基本保险预算；往返机票自行购买。升房、酒水超额、SPA及个人购物另付。</x:v>
      </x:c>
      <x:c r="D8" s="28" t="str">
        <x:v>D-21至D-14 行前访谈、结构审核、匿名群体说明，未成团不锁不可退房
D-14 达到成团与结构条件才确认承办合同和供应商；支付及退改按最终合同
D1 周四下午集合、分别接机、休息；18:30欢迎晚餐和小组认识
D2 上午低强度海岸体验；下午自由休息或自愿双人任务；晚间四人桌主题餐
D3 上午共同创作或在地体验；下午自由结伴；晚间总结餐，不强制告白
D4 周日早餐、反馈与分别送机，不设计最后一刻促销
返程后48小时个别回访，双方同意后安排后续联系；14日跟进满意和再次参加意愿</x:v>
      </x:c>
      <x:c r="E8" s="28" t="str">
        <x:v>持证旅行承办团队、领队1、社交主持1、运营协调1；三人中岗位可兼任但工时要核实
团队合计190小时</x:v>
      </x:c>
      <x:c r="F8" s="28" t="str">
        <x:v>先看愿意再次共同参加的比例，再推同城活动或下一条旅行，不靠承诺脱单留存。</x:v>
      </x:c>
      <x:c r="G8" s="28" t="str">
        <x:v>Olivia：客户访谈和同条件询价；格格：可兑现资源；双方：A8口径、城市、日期、预算与执行人员。</x:v>
      </x:c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31d8f023044f4e8f"/>
  </x:tableParts>
</x:worksheet>
</file>