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929cdb1ec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与结论" sheetId="1" r:id="Rc004aee824234c7d"/>
    <x:sheet xmlns:r="http://schemas.openxmlformats.org/officeDocument/2006/relationships" name="经营模型" sheetId="2" r:id="Reeb80ba42bd24c49"/>
    <x:sheet xmlns:r="http://schemas.openxmlformats.org/officeDocument/2006/relationships" name="15家比较" sheetId="3" r:id="R64ffbcc439a74a4b"/>
    <x:sheet xmlns:r="http://schemas.openxmlformats.org/officeDocument/2006/relationships" name="价格权益" sheetId="4" r:id="R4b459f5ab8cc4fd7"/>
    <x:sheet xmlns:r="http://schemas.openxmlformats.org/officeDocument/2006/relationships" name="产品分类" sheetId="5" r:id="R8df73f10d2774771"/>
    <x:sheet xmlns:r="http://schemas.openxmlformats.org/officeDocument/2006/relationships" name="客户画像" sheetId="6" r:id="R669f4a74f9e44eaa"/>
    <x:sheet xmlns:r="http://schemas.openxmlformats.org/officeDocument/2006/relationships" name="获客路径" sheetId="7" r:id="Rd9cffd068e3849f1"/>
    <x:sheet xmlns:r="http://schemas.openxmlformats.org/officeDocument/2006/relationships" name="活动记录" sheetId="8" r:id="R5784fe29a6a44922"/>
    <x:sheet xmlns:r="http://schemas.openxmlformats.org/officeDocument/2006/relationships" name="活动流程" sheetId="9" r:id="R047b80ced2b94066"/>
    <x:sheet xmlns:r="http://schemas.openxmlformats.org/officeDocument/2006/relationships" name="用户与活跃" sheetId="10" r:id="R5066df444af84e3b"/>
    <x:sheet xmlns:r="http://schemas.openxmlformats.org/officeDocument/2006/relationships" name="内容样本" sheetId="11" r:id="R0920d1759c8b494d"/>
    <x:sheet xmlns:r="http://schemas.openxmlformats.org/officeDocument/2006/relationships" name="宏观数据" sheetId="12" r:id="R09916f3355024f13"/>
    <x:sheet xmlns:r="http://schemas.openxmlformats.org/officeDocument/2006/relationships" name="机构地图" sheetId="13" r:id="R60700d29260941fa"/>
    <x:sheet xmlns:r="http://schemas.openxmlformats.org/officeDocument/2006/relationships" name="来源台账" sheetId="14" r:id="Ref564901611a4182"/>
    <x:sheet xmlns:r="http://schemas.openxmlformats.org/officeDocument/2006/relationships" name="证据缺口" sheetId="15" r:id="R5687fe10b11844a0"/>
    <x:sheet xmlns:r="http://schemas.openxmlformats.org/officeDocument/2006/relationships" name="字段核验" sheetId="16" r:id="Rc38674723f8c4e7d"/>
    <x:sheet xmlns:r="http://schemas.openxmlformats.org/officeDocument/2006/relationships" name="收费模式比较" sheetId="17" r:id="Rf913ac834c69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&quot;—&quot;"/>
    <x:numFmt numFmtId="201" formatCode="0.0%"/>
    <x:numFmt numFmtId="202" formatCode="0.00"/>
    <x:numFmt numFmtId="203" formatCode="#,##0"/>
  </x:numFmts>
  <x:fonts count="31">
    <x:font>
      <x:sz val="11"/>
      <x:name val="Carlito"/>
    </x:font>
    <x:font>
      <x:sz val="11"/>
      <x:color rgb="FF202D38"/>
      <x:name val="PingFang SC"/>
    </x:font>
    <x:font>
      <x:b/>
      <x:sz val="18"/>
      <x:color rgb="FF233D55"/>
      <x:name val="PingFang SC"/>
    </x:font>
    <x:font>
      <x:sz val="10"/>
      <x:color rgb="FF566575"/>
      <x:name val="PingFang SC"/>
    </x:font>
    <x:font>
      <x:b/>
      <x:sz val="11"/>
      <x:color rgb="FFFFFFFF"/>
      <x:name val="PingFang SC"/>
    </x:font>
    <x:font>
      <x:sz val="11"/>
      <x:color rgb="FF111111"/>
      <x:name val="PingFang SC"/>
    </x:font>
    <x:font>
      <x:b/>
      <x:sz val="19"/>
      <x:color rgb="FF233D55"/>
      <x:name val="PingFang SC"/>
    </x:font>
    <x:font>
      <x:b/>
      <x:sz val="11"/>
      <x:color rgb="FF0000FF"/>
      <x:name val="PingFang SC"/>
    </x:font>
    <x:font>
      <x:sz val="11"/>
      <x:color rgb="FF0000FF"/>
      <x:name val="PingFang SC"/>
    </x:font>
    <x:font>
      <x:b/>
      <x:sz val="11"/>
      <x:color rgb="FF111111"/>
      <x:name val="PingFang SC"/>
    </x:font>
    <x:font>
      <x:b/>
      <x:sz val="10"/>
      <x:color rgb="FF566575"/>
      <x:name val="PingFang SC"/>
    </x:font>
    <x:font>
      <x:sz val="11"/>
      <x:name val="PingFang SC"/>
    </x:font>
    <x:font>
      <x:sz val="11"/>
      <x:color rgb="FF008040"/>
      <x:name val="PingFang SC"/>
    </x:font>
    <x:font>
      <x:b/>
      <x:sz val="11"/>
      <x:name val="PingFang SC"/>
    </x:font>
    <x:font>
      <x:b/>
      <x:sz val="11"/>
      <x:color rgb="FF66B3FF"/>
      <x:name val="PingFang SC"/>
    </x:font>
    <x:font>
      <x:b/>
      <x:sz val="10.5"/>
      <x:color rgb="FF233D55"/>
      <x:name val="PingFang SC"/>
    </x:font>
    <x:font>
      <x:sz val="10.5"/>
      <x:color rgb="FF566575"/>
      <x:name val="PingFang SC"/>
    </x:font>
    <x:font>
      <x:sz val="10.5"/>
      <x:color rgb="FF202D38"/>
      <x:name val="PingFang SC"/>
    </x:font>
    <x:font>
      <x:b/>
      <x:sz val="10.5"/>
      <x:color rgb="FFFFFFFF"/>
      <x:name val="PingFang SC"/>
    </x:font>
    <x:font>
      <x:b/>
      <x:sz val="16"/>
      <x:color rgb="FF000000"/>
      <x:name val="PingFang SC"/>
    </x:font>
    <x:font>
      <x:sz val="10"/>
      <x:color rgb="FF505050"/>
      <x:name val="PingFang SC"/>
    </x:font>
    <x:font>
      <x:b/>
      <x:sz val="10.5"/>
      <x:color rgb="FF000000"/>
      <x:name val="PingFang SC"/>
    </x:font>
    <x:font>
      <x:sz val="10.5"/>
      <x:name val="PingFang SC"/>
    </x:font>
    <x:font>
      <x:sz val="10.5"/>
      <x:color rgb="FF111111"/>
      <x:name val="PingFang SC"/>
    </x:font>
    <x:font>
      <x:b/>
      <x:sz val="10.5"/>
      <x:color rgb="FF0000FF"/>
      <x:name val="PingFang SC"/>
    </x:font>
    <x:font>
      <x:sz val="10.5"/>
      <x:color rgb="FF0000FF"/>
      <x:name val="PingFang SC"/>
    </x:font>
    <x:font>
      <x:b/>
      <x:sz val="10.5"/>
      <x:color rgb="FF111111"/>
      <x:name val="PingFang SC"/>
    </x:font>
    <x:font>
      <x:b/>
      <x:sz val="10.5"/>
      <x:color rgb="FF566575"/>
      <x:name val="PingFang SC"/>
    </x:font>
    <x:font>
      <x:sz val="10.5"/>
      <x:color rgb="FF008040"/>
      <x:name val="PingFang SC"/>
    </x:font>
    <x:font>
      <x:b/>
      <x:sz val="10.5"/>
      <x:name val="PingFang SC"/>
    </x:font>
    <x:font>
      <x:b/>
      <x:sz val="10.5"/>
      <x:color rgb="FF66B3FF"/>
      <x:name val="PingFang SC"/>
    </x:font>
  </x:fonts>
  <x:fills count="10">
    <x:fill>
      <x:patternFill patternType="none"/>
    </x:fill>
    <x:fill>
      <x:patternFill patternType="gray125"/>
    </x:fill>
    <x:fill>
      <x:patternFill patternType="solid">
        <x:fgColor rgb="FF233D55"/>
      </x:patternFill>
    </x:fill>
    <x:fill>
      <x:patternFill patternType="solid">
        <x:fgColor rgb="FFFFF2CC"/>
      </x:patternFill>
    </x:fill>
    <x:fill>
      <x:patternFill patternType="solid">
        <x:fgColor rgb="FFEEF5FE"/>
      </x:patternFill>
    </x:fill>
    <x:fill>
      <x:patternFill patternType="solid">
        <x:fgColor rgb="FFEFF4F8"/>
      </x:patternFill>
    </x:fill>
    <x:fill>
      <x:patternFill patternType="solid">
        <x:fgColor rgb="FFE9ECEF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2F2F2"/>
      </x:patternFill>
    </x:fill>
  </x:fills>
  <x:borders count="3">
    <x:border>
      <x:left/>
      <x:right/>
      <x:top/>
      <x:bottom/>
      <x:diagonal/>
    </x:border>
    <x:border>
      <x:left style="thin">
        <x:color rgb="FFDDE4EA"/>
      </x:left>
      <x:right style="thin">
        <x:color rgb="FFDDE4EA"/>
      </x:right>
      <x:top style="thin">
        <x:color rgb="FFDDE4EA"/>
      </x:top>
      <x:bottom style="thin">
        <x:color rgb="FFDDE4EA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1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200" fontId="14" fillId="2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200" fontId="11" fillId="0" borderId="2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 applyAlignment="1">
      <x:alignment vertical="center" wrapText="1"/>
    </x:xf>
    <x:xf numFmtId="0" fontId="17" fillId="0" borderId="1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18" fillId="2" borderId="2" xfId="0" applyNumberFormat="1" applyFont="1" applyFill="1" applyBorder="1" applyAlignment="1">
      <x:alignment vertical="center" wrapText="1"/>
    </x:xf>
    <x:xf numFmtId="0" fontId="17" fillId="0" borderId="2" xfId="0" applyNumberFormat="1" applyFont="1" applyFill="1" applyBorder="1" applyAlignment="1">
      <x:alignment vertical="center" wrapText="1"/>
    </x:xf>
    <x:xf numFmtId="0" fontId="18" fillId="6" borderId="2" xfId="0" applyNumberFormat="1" applyFont="1" applyFill="1" applyBorder="1" applyAlignment="1">
      <x:alignment vertical="center" wrapText="1"/>
    </x:xf>
    <x:xf numFmtId="0" fontId="21" fillId="6" borderId="2" xfId="0" applyNumberFormat="1" applyFont="1" applyFill="1" applyBorder="1" applyAlignment="1">
      <x:alignment vertical="center" wrapText="1"/>
    </x:xf>
    <x:xf numFmtId="0" fontId="21" fillId="6" borderId="2" xfId="0" applyNumberFormat="1" applyFont="1" applyFill="1" applyBorder="1" applyAlignment="1">
      <x:alignment horizontal="center" vertical="center" wrapText="1"/>
    </x:xf>
    <x:xf numFmtId="0" fontId="17" fillId="7" borderId="2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/>
    <x:xf numFmtId="0" fontId="23" fillId="0" borderId="0" xfId="0" applyNumberFormat="1" applyFont="1" applyFill="1" applyBorder="1" applyAlignment="1">
      <x:alignment vertical="center" wrapText="1"/>
    </x:xf>
    <x:xf numFmtId="0" fontId="24" fillId="3" borderId="0" xfId="0" applyNumberFormat="1" applyFont="1" applyFill="1" applyBorder="1" applyAlignment="1">
      <x:alignment vertical="center" wrapText="1"/>
    </x:xf>
    <x:xf numFmtId="200" fontId="23" fillId="0" borderId="0" xfId="0" applyNumberFormat="1" applyFont="1" applyFill="1" applyBorder="1" applyAlignment="1">
      <x:alignment vertical="center" wrapText="1"/>
    </x:xf>
    <x:xf numFmtId="200" fontId="25" fillId="4" borderId="0" xfId="0" applyNumberFormat="1" applyFont="1" applyFill="1" applyBorder="1" applyAlignment="1">
      <x:alignment vertical="center" wrapText="1"/>
    </x:xf>
    <x:xf numFmtId="201" fontId="23" fillId="0" borderId="0" xfId="0" applyNumberFormat="1" applyFont="1" applyFill="1" applyBorder="1" applyAlignment="1">
      <x:alignment vertical="center" wrapText="1"/>
    </x:xf>
    <x:xf numFmtId="201" fontId="25" fillId="4" borderId="0" xfId="0" applyNumberFormat="1" applyFont="1" applyFill="1" applyBorder="1" applyAlignment="1">
      <x:alignment vertical="center" wrapText="1"/>
    </x:xf>
    <x:xf numFmtId="0" fontId="26" fillId="5" borderId="0" xfId="0" applyNumberFormat="1" applyFont="1" applyFill="1" applyBorder="1" applyAlignment="1">
      <x:alignment vertical="center" wrapText="1"/>
    </x:xf>
    <x:xf numFmtId="200" fontId="26" fillId="5" borderId="0" xfId="0" applyNumberFormat="1" applyFont="1" applyFill="1" applyBorder="1" applyAlignment="1">
      <x:alignment vertical="center" wrapText="1"/>
    </x:xf>
    <x:xf numFmtId="0" fontId="27" fillId="5" borderId="0" xfId="0" applyNumberFormat="1" applyFont="1" applyFill="1" applyBorder="1" applyAlignment="1">
      <x:alignment vertical="center" wrapText="1"/>
    </x:xf>
    <x:xf numFmtId="202" fontId="23" fillId="0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21" fillId="6" borderId="0" xfId="0" applyNumberFormat="1" applyFont="1" applyFill="1" applyBorder="1" applyAlignment="1">
      <x:alignment vertical="center" wrapText="1"/>
    </x:xf>
    <x:xf numFmtId="200" fontId="25" fillId="8" borderId="0" xfId="0" applyNumberFormat="1" applyFont="1" applyFill="1" applyBorder="1" applyAlignment="1">
      <x:alignment vertical="center" wrapText="1"/>
    </x:xf>
    <x:xf numFmtId="201" fontId="25" fillId="8" borderId="0" xfId="0" applyNumberFormat="1" applyFont="1" applyFill="1" applyBorder="1" applyAlignment="1">
      <x:alignment vertical="center" wrapText="1"/>
    </x:xf>
    <x:xf numFmtId="0" fontId="26" fillId="9" borderId="0" xfId="0" applyNumberFormat="1" applyFont="1" applyFill="1" applyBorder="1" applyAlignment="1">
      <x:alignment vertical="center" wrapText="1"/>
    </x:xf>
    <x:xf numFmtId="200" fontId="26" fillId="9" borderId="0" xfId="0" applyNumberFormat="1" applyFont="1" applyFill="1" applyBorder="1" applyAlignment="1">
      <x:alignment vertical="center" wrapText="1"/>
    </x:xf>
    <x:xf numFmtId="0" fontId="27" fillId="9" borderId="0" xfId="0" applyNumberFormat="1" applyFont="1" applyFill="1" applyBorder="1" applyAlignment="1">
      <x:alignment vertical="center" wrapText="1"/>
    </x:xf>
    <x:xf numFmtId="203" fontId="17" fillId="0" borderId="1" xfId="0" applyNumberFormat="1" applyFont="1" applyFill="1" applyBorder="1" applyAlignment="1">
      <x:alignment vertical="center" wrapText="1"/>
    </x:xf>
    <x:xf numFmtId="203" fontId="17" fillId="0" borderId="2" xfId="0" applyNumberFormat="1" applyFont="1" applyFill="1" applyBorder="1" applyAlignment="1">
      <x:alignment vertical="center" wrapText="1"/>
    </x:xf>
    <x:xf numFmtId="203" fontId="17" fillId="7" borderId="2" xfId="0" applyNumberFormat="1" applyFont="1" applyFill="1" applyBorder="1" applyAlignment="1">
      <x:alignment vertical="center" wrapText="1"/>
    </x:xf>
    <x:xf numFmtId="200" fontId="22" fillId="0" borderId="0" xfId="0" applyNumberFormat="1" applyFont="1" applyFill="1" applyBorder="1" applyAlignment="1">
      <x:alignment vertical="center" wrapText="1"/>
    </x:xf>
    <x:xf numFmtId="200" fontId="28" fillId="0" borderId="0" xfId="0" applyNumberFormat="1" applyFont="1" applyFill="1" applyBorder="1" applyAlignment="1">
      <x:alignment vertical="center" wrapText="1"/>
    </x:xf>
    <x:xf numFmtId="0" fontId="29" fillId="5" borderId="0" xfId="0" applyNumberFormat="1" applyFont="1" applyFill="1" applyBorder="1" applyAlignment="1">
      <x:alignment vertical="center" wrapText="1"/>
    </x:xf>
    <x:xf numFmtId="203" fontId="25" fillId="4" borderId="0" xfId="0" applyNumberFormat="1" applyFont="1" applyFill="1" applyBorder="1" applyAlignment="1">
      <x:alignment vertical="center" wrapText="1"/>
    </x:xf>
    <x:xf numFmtId="200" fontId="30" fillId="2" borderId="2" xfId="0" applyNumberFormat="1" applyFont="1" applyFill="1" applyBorder="1" applyAlignment="1">
      <x:alignment vertical="center" wrapText="1"/>
    </x:xf>
    <x:xf numFmtId="0" fontId="25" fillId="0" borderId="2" xfId="0" applyNumberFormat="1" applyFont="1" applyFill="1" applyBorder="1" applyAlignment="1">
      <x:alignment vertical="center" wrapText="1"/>
    </x:xf>
    <x:xf numFmtId="200" fontId="22" fillId="0" borderId="2" xfId="0" applyNumberFormat="1" applyFont="1" applyFill="1" applyBorder="1" applyAlignment="1">
      <x:alignment vertical="center" wrapText="1"/>
    </x:xf>
    <x:xf numFmtId="200" fontId="30" fillId="6" borderId="2" xfId="0" applyNumberFormat="1" applyFont="1" applyFill="1" applyBorder="1" applyAlignment="1">
      <x:alignment vertical="center" wrapText="1"/>
    </x:xf>
    <x:xf numFmtId="200" fontId="21" fillId="6" borderId="2" xfId="0" applyNumberFormat="1" applyFont="1" applyFill="1" applyBorder="1" applyAlignment="1">
      <x:alignment vertical="center" wrapText="1"/>
    </x:xf>
    <x:xf numFmtId="203" fontId="25" fillId="8" borderId="0" xfId="0" applyNumberFormat="1" applyFont="1" applyFill="1" applyBorder="1" applyAlignment="1">
      <x:alignment vertical="center" wrapText="1"/>
    </x:xf>
    <x:xf numFmtId="0" fontId="29" fillId="9" borderId="0" xfId="0" applyNumberFormat="1" applyFont="1" applyFill="1" applyBorder="1" applyAlignment="1">
      <x:alignment vertical="center" wrapText="1"/>
    </x:xf>
    <x:xf numFmtId="200" fontId="24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C00000"/>
      </x:font>
      <x:fill>
        <x:patternFill>
          <x:bgColor rgb="FFFCECEC"/>
        </x:patternFill>
      </x:fill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7b2ee1dc04107" /><Relationship Type="http://schemas.openxmlformats.org/officeDocument/2006/relationships/theme" Target="/xl/theme/theme1.xml" Id="Rede8203ea28f4f1b" /><Relationship Type="http://schemas.openxmlformats.org/officeDocument/2006/relationships/sharedStrings" Target="/xl/sharedStrings.xml" Id="R7715cf4c266a430b" /><Relationship Type="http://schemas.openxmlformats.org/officeDocument/2006/relationships/worksheet" Target="/xl/worksheets/sheet1.xml" Id="Rc004aee824234c7d" /><Relationship Type="http://schemas.openxmlformats.org/officeDocument/2006/relationships/worksheet" Target="/xl/worksheets/sheet2.xml" Id="Reeb80ba42bd24c49" /><Relationship Type="http://schemas.openxmlformats.org/officeDocument/2006/relationships/worksheet" Target="/xl/worksheets/sheet3.xml" Id="R64ffbcc439a74a4b" /><Relationship Type="http://schemas.openxmlformats.org/officeDocument/2006/relationships/worksheet" Target="/xl/worksheets/sheet4.xml" Id="R4b459f5ab8cc4fd7" /><Relationship Type="http://schemas.openxmlformats.org/officeDocument/2006/relationships/worksheet" Target="/xl/worksheets/sheet5.xml" Id="R8df73f10d2774771" /><Relationship Type="http://schemas.openxmlformats.org/officeDocument/2006/relationships/worksheet" Target="/xl/worksheets/sheet6.xml" Id="R669f4a74f9e44eaa" /><Relationship Type="http://schemas.openxmlformats.org/officeDocument/2006/relationships/worksheet" Target="/xl/worksheets/sheet7.xml" Id="Rd9cffd068e3849f1" /><Relationship Type="http://schemas.openxmlformats.org/officeDocument/2006/relationships/worksheet" Target="/xl/worksheets/sheet8.xml" Id="R5784fe29a6a44922" /><Relationship Type="http://schemas.openxmlformats.org/officeDocument/2006/relationships/worksheet" Target="/xl/worksheets/sheet9.xml" Id="R047b80ced2b94066" /><Relationship Type="http://schemas.openxmlformats.org/officeDocument/2006/relationships/worksheet" Target="/xl/worksheets/sheet10.xml" Id="R5066df444af84e3b" /><Relationship Type="http://schemas.openxmlformats.org/officeDocument/2006/relationships/worksheet" Target="/xl/worksheets/sheet11.xml" Id="R0920d1759c8b494d" /><Relationship Type="http://schemas.openxmlformats.org/officeDocument/2006/relationships/worksheet" Target="/xl/worksheets/sheet12.xml" Id="R09916f3355024f13" /><Relationship Type="http://schemas.openxmlformats.org/officeDocument/2006/relationships/worksheet" Target="/xl/worksheets/sheet13.xml" Id="R60700d29260941fa" /><Relationship Type="http://schemas.openxmlformats.org/officeDocument/2006/relationships/worksheet" Target="/xl/worksheets/sheet14.xml" Id="Ref564901611a4182" /><Relationship Type="http://schemas.openxmlformats.org/officeDocument/2006/relationships/worksheet" Target="/xl/worksheets/sheet15.xml" Id="R5687fe10b11844a0" /><Relationship Type="http://schemas.openxmlformats.org/officeDocument/2006/relationships/worksheet" Target="/xl/worksheets/sheet16.xml" Id="Rc38674723f8c4e7d" /><Relationship Type="http://schemas.openxmlformats.org/officeDocument/2006/relationships/worksheet" Target="/xl/worksheets/sheet17.xml" Id="Rf913ac834c694349" /></Relationships>
</file>

<file path=xl/tables/table1.xml><?xml version="1.0" encoding="utf-8"?>
<x:table xmlns:x="http://schemas.openxmlformats.org/spreadsheetml/2006/main" id="1" name="ResearchTable1" displayName="ResearchTable1" ref="A4:C16" headerRowCount="1" totalsRowCount="0" totalsRowShown="0">
  <x:tableColumns count="3">
    <x:tableColumn id="1" name="项目"/>
    <x:tableColumn id="2" name="本轮结果"/>
    <x:tableColumn id="3" name="解释与使用方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searchTable2" displayName="ResearchTable2" ref="A4:N19" headerRowCount="1" totalsRowCount="0" totalsRowShown="0">
  <x:tableColumns count="14">
    <x:tableColumn id="1" name="机构ID"/>
    <x:tableColumn id="2" name="机构"/>
    <x:tableColumn id="3" name="城市或覆盖"/>
    <x:tableColumn id="4" name="类别"/>
    <x:tableColumn id="5" name="主要产品"/>
    <x:tableColumn id="6" name="收费模式"/>
    <x:tableColumn id="7" name="品牌目标客户"/>
    <x:tableColumn id="8" name="公开权益"/>
    <x:tableColumn id="9" name="获客入口"/>
    <x:tableColumn id="10" name="交付主体"/>
    <x:tableColumn id="11" name="有效付费会员"/>
    <x:tableColumn id="12" name="经营经济性"/>
    <x:tableColumn id="13" name="分析及限制"/>
    <x:tableColumn id="14" name="源I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searchTable3" displayName="ResearchTable3" ref="A4:N36" headerRowCount="1" totalsRowCount="0" totalsRowShown="0">
  <x:tableColumns count="14">
    <x:tableColumn id="1" name="机构"/>
    <x:tableColumn id="2" name="城市或目的地"/>
    <x:tableColumn id="3" name="产品或等级"/>
    <x:tableColumn id="4" name="金额"/>
    <x:tableColumn id="5" name="币种"/>
    <x:tableColumn id="6" name="收费单位"/>
    <x:tableColumn id="7" name="报价或有效期"/>
    <x:tableColumn id="8" name="包含权益"/>
    <x:tableColumn id="9" name="不包含或未核"/>
    <x:tableColumn id="10" name="额外条件及费用"/>
    <x:tableColumn id="11" name="退改"/>
    <x:tableColumn id="12" name="证据类别"/>
    <x:tableColumn id="13" name="源ID"/>
    <x:tableColumn id="14" name="采集日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ResearchTable4" displayName="ResearchTable4" ref="A4:M19" headerRowCount="1" totalsRowCount="0" totalsRowShown="0">
  <x:tableColumns count="13">
    <x:tableColumn id="1" name="机构ID"/>
    <x:tableColumn id="2" name="机构"/>
    <x:tableColumn id="3" name="产品类别"/>
    <x:tableColumn id="4" name="核心需求"/>
    <x:tableColumn id="5" name="收费模式"/>
    <x:tableColumn id="6" name="期限频次及权益"/>
    <x:tableColumn id="7" name="线上线下比例"/>
    <x:tableColumn id="8" name="预约候补"/>
    <x:tableColumn id="9" name="关系状态及带客"/>
    <x:tableColumn id="10" name="体验咨询入口"/>
    <x:tableColumn id="11" name="自有合作交付"/>
    <x:tableColumn id="12" name="交叉销售证据"/>
    <x:tableColumn id="13" name="源ID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ResearchTable5" displayName="ResearchTable5" ref="A4:J10" headerRowCount="1" totalsRowCount="0" totalsRowShown="0">
  <x:tableColumns count="10">
    <x:tableColumn id="1" name="画像ID"/>
    <x:tableColumn id="2" name="需求分层"/>
    <x:tableColumn id="3" name="职业身份定位"/>
    <x:tableColumn id="4" name="关系状态"/>
    <x:tableColumn id="5" name="核心需求"/>
    <x:tableColumn id="6" name="购买触发 假设"/>
    <x:tableColumn id="7" name="选择标准"/>
    <x:tableColumn id="8" name="源ID"/>
    <x:tableColumn id="9" name="证据与待验边界"/>
    <x:tableColumn id="10" name="重要限制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ResearchTable6" displayName="ResearchTable6" ref="A4:K19" headerRowCount="1" totalsRowCount="0" totalsRowShown="0">
  <x:tableColumns count="11">
    <x:tableColumn id="1" name="机构"/>
    <x:tableColumn id="2" name="公开渠道及入口"/>
    <x:tableColumn id="3" name="可见内容主题"/>
    <x:tableColumn id="4" name="访问或留资"/>
    <x:tableColumn id="5" name="咨询与成交边界"/>
    <x:tableColumn id="6" name="筛选"/>
    <x:tableColumn id="7" name="体验转付费率"/>
    <x:tableColumn id="8" name="获客成本"/>
    <x:tableColumn id="9" name="转介绍成交"/>
    <x:tableColumn id="10" name="机制与实绩区别"/>
    <x:tableColumn id="11" name="源ID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ResearchTable7" displayName="ResearchTable7" ref="A4:M10" headerRowCount="1" totalsRowCount="0" totalsRowShown="0">
  <x:tableColumns count="13">
    <x:tableColumn id="1" name="活动ID"/>
    <x:tableColumn id="2" name="机构"/>
    <x:tableColumn id="3" name="活动名称"/>
    <x:tableColumn id="4" name="时间或团期"/>
    <x:tableColumn id="5" name="地点"/>
    <x:tableColumn id="6" name="记录类型"/>
    <x:tableColumn id="7" name="目标人群"/>
    <x:tableColumn id="8" name="天数"/>
    <x:tableColumn id="9" name="人均报价"/>
    <x:tableColumn id="10" name="到场情况"/>
    <x:tableColumn id="11" name="可见安排"/>
    <x:tableColumn id="12" name="源ID"/>
    <x:tableColumn id="13" name="证据限制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ResearchTable8" displayName="ResearchTable8" ref="A4:G52" headerRowCount="1" totalsRowCount="0" totalsRowShown="0">
  <x:tableColumns count="7">
    <x:tableColumn id="1" name="活动ID"/>
    <x:tableColumn id="2" name="机构"/>
    <x:tableColumn id="3" name="活动名称"/>
    <x:tableColumn id="4" name="阶段"/>
    <x:tableColumn id="5" name="已知环节或未知"/>
    <x:tableColumn id="6" name="证据性质"/>
    <x:tableColumn id="7" name="源ID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ResearchTable9" displayName="ResearchTable9" ref="A4:E43" headerRowCount="1" totalsRowCount="0" totalsRowShown="0">
  <x:tableColumns count="5">
    <x:tableColumn id="1" name="机构"/>
    <x:tableColumn id="2" name="指标"/>
    <x:tableColumn id="3" name="观察值或未知"/>
    <x:tableColumn id="4" name="定义与证据限制"/>
    <x:tableColumn id="5" name="源ID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ResearchTable10" displayName="ResearchTable10" ref="A4:M59" headerRowCount="1" totalsRowCount="0" totalsRowShown="0">
  <x:tableColumns count="13">
    <x:tableColumn id="1" name="机构或检索词"/>
    <x:tableColumn id="2" name="标题"/>
    <x:tableColumn id="3" name="页面显示日期"/>
    <x:tableColumn id="4" name="采集日"/>
    <x:tableColumn id="5" name="采集深度"/>
    <x:tableColumn id="6" name="可见互动值"/>
    <x:tableColumn id="7" name="评论数"/>
    <x:tableColumn id="8" name="收藏数"/>
    <x:tableColumn id="9" name="商业标识"/>
    <x:tableColumn id="10" name="主题或状态"/>
    <x:tableColumn id="11" name="公开链接"/>
    <x:tableColumn id="12" name="源ID"/>
    <x:tableColumn id="13" name="样本限制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ResearchTable11" displayName="ResearchTable11" ref="A4:H29" headerRowCount="1" totalsRowCount="0" totalsRowShown="0">
  <x:tableColumns count="8">
    <x:tableColumn id="1" name="指标"/>
    <x:tableColumn id="2" name="统计年"/>
    <x:tableColumn id="3" name="数值"/>
    <x:tableColumn id="4" name="单位"/>
    <x:tableColumn id="5" name="地区"/>
    <x:tableColumn id="6" name="源ID"/>
    <x:tableColumn id="7" name="证据类别"/>
    <x:tableColumn id="8" name="口径与限制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ResearchTable12" displayName="ResearchTable12" ref="A4:J45" headerRowCount="1" totalsRowCount="0" totalsRowShown="0">
  <x:tableColumns count="10">
    <x:tableColumn id="1" name="机构ID"/>
    <x:tableColumn id="2" name="品牌或机构"/>
    <x:tableColumn id="3" name="分类"/>
    <x:tableColumn id="4" name="城市或覆盖"/>
    <x:tableColumn id="5" name="模式"/>
    <x:tableColumn id="6" name="目标客户定位"/>
    <x:tableColumn id="7" name="比较关系"/>
    <x:tableColumn id="8" name="状态及限制"/>
    <x:tableColumn id="9" name="去重体系"/>
    <x:tableColumn id="10" name="源ID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ResearchTable13" displayName="ResearchTable13" ref="A4:J105" headerRowCount="1" totalsRowCount="0" totalsRowShown="0">
  <x:tableColumns count="10">
    <x:tableColumn id="1" name="源ID"/>
    <x:tableColumn id="2" name="标题"/>
    <x:tableColumn id="3" name="发布或提供主体"/>
    <x:tableColumn id="4" name="统计期或发布时间"/>
    <x:tableColumn id="5" name="证据类别"/>
    <x:tableColumn id="6" name="关键发现"/>
    <x:tableColumn id="7" name="限制"/>
    <x:tableColumn id="8" name="访问方式"/>
    <x:tableColumn id="9" name="采集日"/>
    <x:tableColumn id="10" name="链接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ResearchTable14" displayName="ResearchTable14" ref="A4:G19" headerRowCount="1" totalsRowCount="0" totalsRowShown="0">
  <x:tableColumns count="7">
    <x:tableColumn id="1" name="缺口ID"/>
    <x:tableColumn id="2" name="模块"/>
    <x:tableColumn id="3" name="待解问题"/>
    <x:tableColumn id="4" name="当前不足"/>
    <x:tableColumn id="5" name="下一步具体证据"/>
    <x:tableColumn id="6" name="决策影响"/>
    <x:tableColumn id="7" name="动作状态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ResearchTable15" displayName="ResearchTable15" ref="A4:G310" headerRowCount="1" totalsRowCount="0" totalsRowShown="0">
  <x:tableColumns count="7">
    <x:tableColumn id="1" name="案例"/>
    <x:tableColumn id="2" name="模块"/>
    <x:tableColumn id="3" name="字段"/>
    <x:tableColumn id="4" name="已知值或未知"/>
    <x:tableColumn id="5" name="源ID或检查来源"/>
    <x:tableColumn id="6" name="核验状态"/>
    <x:tableColumn id="7" name="查找范围及剩余证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02a1b1755f48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d5ec6d80f848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762a583a094d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fee9b302df4f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f452cf707b43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17911d4ad34b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76ff44afe14f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239d37ee0f4d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137cb0dfc3140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744e3179d141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56629d892c84c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7f575c0deda4fa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48e340a0d664de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4b87a715d6d425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c76c20844dd4488" /></Relationships>
</file>

<file path=xl/worksheets/sheet1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50" hidden="0" customWidth="1"/>
    <x:col min="3" max="3" width="50" hidden="0" customWidth="1"/>
  </x:cols>
  <x:sheetData>
    <x:row r="1" ht="30" customHeight="1">
      <x:c r="A1" s="53" t="str">
        <x:v>阅读与结论</x:v>
      </x:c>
      <x:c r="B1" s="53"/>
      <x:c r="C1" s="53"/>
    </x:row>
    <x:row r="2" ht="32" customHeight="1">
      <x:c r="A2" s="54" t="str">
        <x:v>采集截止 2026-10-21　|　先读此页，再看来源与缺口；结论有明确证据边界</x:v>
      </x:c>
      <x:c r="B2" s="54"/>
      <x:c r="C2" s="54"/>
    </x:row>
    <x:row r="3" ht="8" customHeight="1">
      <x:c r="A3" s="50"/>
      <x:c r="B3" s="50"/>
      <x:c r="C3" s="50"/>
    </x:row>
    <x:row r="4" ht="30" customHeight="1">
      <x:c r="A4" s="59" t="str">
        <x:v>项目</x:v>
      </x:c>
      <x:c r="B4" s="59" t="str">
        <x:v>本轮结果</x:v>
      </x:c>
      <x:c r="C4" s="59" t="str">
        <x:v>解释与使用方法</x:v>
      </x:c>
    </x:row>
    <x:row r="5" ht="36" customHeight="1">
      <x:c r="A5" s="60" t="str">
        <x:v>研究用途</x:v>
      </x:c>
      <x:c r="B5" s="60" t="str">
        <x:v>高端社交创业与合伙人决策</x:v>
      </x:c>
      <x:c r="C5" s="60" t="str">
        <x:v>先全国宏观，再细分模式和京沪深条件，最后三家案例；三家不是经营优劣排名</x:v>
      </x:c>
    </x:row>
    <x:row r="6" ht="36" customHeight="1">
      <x:c r="A6" s="60" t="str">
        <x:v>市场地图</x:v>
      </x:c>
      <x:c r="B6" s="60" t="str">
        <x:v>41个机构或品牌体系</x:v>
      </x:c>
      <x:c r="C6" s="60" t="str">
        <x:v>品牌去重；包含直接、相邻及替代服务；历史或未核实状态保留</x:v>
      </x:c>
    </x:row>
    <x:row r="7" ht="36" customHeight="1">
      <x:c r="A7" s="60" t="str">
        <x:v>比较层</x:v>
      </x:c>
      <x:c r="B7" s="60" t="str">
        <x:v>15家结构化比较；32条价格记录</x:v>
      </x:c>
      <x:c r="C7" s="60" t="str">
        <x:v>价格含未知和异常；只有不同权益下的报价，不能计算统一行业均价</x:v>
      </x:c>
    </x:row>
    <x:row r="8" ht="36" customHeight="1">
      <x:c r="A8" s="60" t="str">
        <x:v>深度层</x:v>
      </x:c>
      <x:c r="B8" s="60" t="str">
        <x:v>京城俱乐部 伟事达中国 耀悦</x:v>
      </x:c>
      <x:c r="C8" s="60" t="str">
        <x:v>306个A—F字段；每个未知保留，不把字段存在当已核实</x:v>
      </x:c>
    </x:row>
    <x:row r="9" ht="36" customHeight="1">
      <x:c r="A9" s="60" t="str">
        <x:v>内容样本</x:v>
      </x:c>
      <x:c r="B9" s="60" t="str">
        <x:v>耀悦20篇逐篇正文；另两家35条搜索观察</x:v>
      </x:c>
      <x:c r="C9" s="60" t="str">
        <x:v>搜索样本有同名排除和旧内容，不等于合格近90天样本；不可作情感或活跃率总体统计</x:v>
      </x:c>
    </x:row>
    <x:row r="10" ht="36" customHeight="1">
      <x:c r="A10" s="60" t="str">
        <x:v>活动证据</x:v>
      </x:c>
      <x:c r="B10" s="60" t="str">
        <x:v>6条记录；48个流程阶段</x:v>
      </x:c>
      <x:c r="C10" s="60" t="str">
        <x:v>包含回顾、合作会面、产品设计，不等于六场实际活动已完整核实</x:v>
      </x:c>
    </x:row>
    <x:row r="11" ht="36" customHeight="1">
      <x:c r="A11" s="60" t="str">
        <x:v>建议方向</x:v>
      </x:c>
      <x:c r="B11" s="60" t="str">
        <x:v>优先验证城市兴趣社交；旅行合作；私董和婚恋独立</x:v>
      </x:c>
      <x:c r="C11" s="60" t="str">
        <x:v>条件性研究建议，需要真实购买、重复参与、交付能力证据</x:v>
      </x:c>
    </x:row>
    <x:row r="12" ht="36" customHeight="1">
      <x:c r="A12" s="60" t="str">
        <x:v>经营模型</x:v>
      </x:c>
      <x:c r="B12" s="60" t="str">
        <x:v>D4选择1保守 2基准 3扩展；蓝字可编辑</x:v>
      </x:c>
      <x:c r="C12" s="60" t="str">
        <x:v>全部为研究假设；模型结果不是竞品或拟公司已实现经营数据</x:v>
      </x:c>
    </x:row>
    <x:row r="13" ht="36" customHeight="1">
      <x:c r="A13" s="60" t="str">
        <x:v>索引方式</x:v>
      </x:c>
      <x:c r="B13" s="60" t="str">
        <x:v>S为案头来源 X为平台观察/正文 E为活动 G为缺口</x:v>
      </x:c>
      <x:c r="C13" s="60" t="str">
        <x:v>每项源ID对应来源台账；统计时点、定义和访问限制保留；同源转载不重复计独立证据</x:v>
      </x:c>
    </x:row>
    <x:row r="14" ht="28" customHeight="1">
      <x:c r="A14" s="60" t="str">
        <x:v>关键未知</x:v>
      </x:c>
      <x:c r="B14" s="60" t="str">
        <x:v>有效付费会员 续费 CAC 利润 实际成交</x:v>
      </x:c>
      <x:c r="C14" s="60" t="str">
        <x:v>未知不等于零；粉丝不当会员，标价不当成交</x:v>
      </x:c>
    </x:row>
    <x:row r="15" ht="36" customHeight="1">
      <x:c r="A15" s="60" t="str">
        <x:v>后续验证</x:v>
      </x:c>
      <x:c r="B15" s="60" t="str">
        <x:v>优先补书面报价与目标客户实付证据</x:v>
      </x:c>
      <x:c r="C15" s="60" t="str">
        <x:v>本轮未外联、购买、填咨询表单；后续动作清单见证据缺口</x:v>
      </x:c>
    </x:row>
    <x:row r="16" ht="28" customHeight="1">
      <x:c r="A16" s="60" t="str">
        <x:v>单位</x:v>
      </x:c>
      <x:c r="B16" s="60" t="str">
        <x:v>价格保留原币；模型为人民币元</x:v>
      </x:c>
      <x:c r="C16" s="60" t="str">
        <x:v>USD与CNY不混加；人数、人次、家庭和用户分开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b02a1b1755f4886"/>
  </x:tableParts>
</x:worksheet>
</file>

<file path=xl/worksheets/sheet2.xml><?xml version="1.0" encoding="utf-8"?>
<x:worksheet xmlns:x="http://schemas.openxmlformats.org/spreadsheetml/2006/main">
  <x:sheetPr>
    <x:tabColor rgb="FF27756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0" hidden="0" customWidth="1"/>
  </x:cols>
  <x:sheetData>
    <x:row r="1" ht="31" customHeight="1">
      <x:c r="A1" s="73"/>
      <x:c r="B1" s="73"/>
      <x:c r="C1" s="73"/>
      <x:c r="D1" s="73"/>
      <x:c r="E1" s="73"/>
      <x:c r="F1" s="73"/>
      <x:c r="G1" s="73"/>
      <x:c r="H1" s="73"/>
    </x:row>
    <x:row r="2" ht="31" customHeight="1">
      <x:c r="A2" s="73"/>
      <x:c r="B2" s="62"/>
      <x:c r="C2" s="53" t="str">
        <x:v>年度经营情景模型</x:v>
      </x:c>
      <x:c r="D2" s="53"/>
      <x:c r="E2" s="53"/>
      <x:c r="F2" s="53"/>
      <x:c r="G2" s="53"/>
      <x:c r="H2" s="53"/>
    </x:row>
    <x:row r="3" ht="8" customHeight="1">
      <x:c r="A3" s="73"/>
      <x:c r="B3" s="62"/>
      <x:c r="C3" s="62"/>
      <x:c r="D3" s="62"/>
      <x:c r="E3" s="62"/>
      <x:c r="F3" s="62"/>
      <x:c r="G3" s="62"/>
      <x:c r="H3" s="62"/>
    </x:row>
    <x:row r="4" ht="34" customHeight="1">
      <x:c r="A4" s="73"/>
      <x:c r="B4" s="62"/>
      <x:c r="C4" s="62" t="str">
        <x:v>情景选择 1保守 2基准 3扩展</x:v>
      </x:c>
      <x:c r="D4" s="63" t="n">
        <x:v>2</x:v>
      </x:c>
      <x:c r="E4" s="62" t="str">
        <x:v>蓝色为研究假设输入；黑色为公式结果。没有竞品实绩输入。</x:v>
      </x:c>
      <x:c r="F4" s="62"/>
      <x:c r="G4" s="62"/>
      <x:c r="H4" s="62"/>
    </x:row>
    <x:row r="5" ht="8" customHeight="1">
      <x:c r="A5" s="73"/>
      <x:c r="B5" s="62"/>
      <x:c r="C5" s="62"/>
      <x:c r="D5" s="62"/>
      <x:c r="E5" s="62"/>
      <x:c r="F5" s="62"/>
      <x:c r="G5" s="62"/>
      <x:c r="H5" s="62"/>
    </x:row>
    <x:row r="6" ht="8" customHeight="1">
      <x:c r="A6" s="73"/>
      <x:c r="B6" s="62"/>
      <x:c r="C6" s="62"/>
      <x:c r="D6" s="62"/>
      <x:c r="E6" s="62"/>
      <x:c r="F6" s="62"/>
      <x:c r="G6" s="62"/>
      <x:c r="H6" s="62"/>
    </x:row>
    <x:row r="7" ht="30" customHeight="1">
      <x:c r="A7" s="73"/>
      <x:c r="B7" s="62"/>
      <x:c r="C7" s="75" t="str">
        <x:v>指标</x:v>
      </x:c>
      <x:c r="D7" s="75" t="str">
        <x:v>当前情景</x:v>
      </x:c>
      <x:c r="E7" s="75" t="str">
        <x:v>保守</x:v>
      </x:c>
      <x:c r="F7" s="75" t="str">
        <x:v>基准</x:v>
      </x:c>
      <x:c r="G7" s="75" t="str">
        <x:v>扩展</x:v>
      </x:c>
      <x:c r="H7" s="75" t="str">
        <x:v>定义与假设</x:v>
      </x:c>
    </x:row>
    <x:row r="8" ht="31" customHeight="1">
      <x:c r="A8" s="73"/>
      <x:c r="B8" s="62"/>
      <x:c r="C8" s="62" t="str">
        <x:v>全年等效付费会员 人</x:v>
      </x:c>
      <x:c r="D8" s="64" t="n">
        <x:f>INDEX(E8:G8,1,$D$4)</x:f>
        <x:v>100</x:v>
      </x:c>
      <x:c r="E8" s="76" t="n">
        <x:v>60</x:v>
      </x:c>
      <x:c r="F8" s="76" t="n">
        <x:v>100</x:v>
      </x:c>
      <x:c r="G8" s="76" t="n">
        <x:v>160</x:v>
      </x:c>
      <x:c r="H8" s="49" t="str">
        <x:v>按服务周期折算，不等于年末会员或新增会员</x:v>
      </x:c>
    </x:row>
    <x:row r="9" ht="31" customHeight="1">
      <x:c r="A9" s="73"/>
      <x:c r="B9" s="62"/>
      <x:c r="C9" s="62" t="str">
        <x:v>年费 元每人</x:v>
      </x:c>
      <x:c r="D9" s="64" t="n">
        <x:f>INDEX(E9:G9,1,$D$4)</x:f>
        <x:v>18000</x:v>
      </x:c>
      <x:c r="E9" s="76" t="n">
        <x:v>12000</x:v>
      </x:c>
      <x:c r="F9" s="76" t="n">
        <x:v>18000</x:v>
      </x:c>
      <x:c r="G9" s="76" t="n">
        <x:v>24000</x:v>
      </x:c>
      <x:c r="H9" s="49" t="str">
        <x:v>独立付费活动另计，是否接受须客户验证</x:v>
      </x:c>
    </x:row>
    <x:row r="10" ht="31" customHeight="1">
      <x:c r="A10" s="73"/>
      <x:c r="B10" s="62"/>
      <x:c r="C10" s="62" t="str">
        <x:v>每月付费活动 场</x:v>
      </x:c>
      <x:c r="D10" s="64" t="n">
        <x:f>INDEX(E10:G10,1,$D$4)</x:f>
        <x:v>3</x:v>
      </x:c>
      <x:c r="E10" s="76" t="n">
        <x:v>2</x:v>
      </x:c>
      <x:c r="F10" s="76" t="n">
        <x:v>3</x:v>
      </x:c>
      <x:c r="G10" s="76" t="n">
        <x:v>4</x:v>
      </x:c>
      <x:c r="H10" s="49" t="str">
        <x:v>会员包含活动不得重复收款；本例全部为额外售票</x:v>
      </x:c>
    </x:row>
    <x:row r="11" ht="31" customHeight="1">
      <x:c r="A11" s="73"/>
      <x:c r="B11" s="62"/>
      <x:c r="C11" s="62" t="str">
        <x:v>每场实付参与 人次</x:v>
      </x:c>
      <x:c r="D11" s="64" t="n">
        <x:f>INDEX(E11:G11,1,$D$4)</x:f>
        <x:v>16</x:v>
      </x:c>
      <x:c r="E11" s="76" t="n">
        <x:v>12</x:v>
      </x:c>
      <x:c r="F11" s="76" t="n">
        <x:v>16</x:v>
      </x:c>
      <x:c r="G11" s="76" t="n">
        <x:v>20</x:v>
      </x:c>
      <x:c r="H11" s="49" t="str">
        <x:v>不以社群人数或报名意向代替</x:v>
      </x:c>
    </x:row>
    <x:row r="12" ht="31" customHeight="1">
      <x:c r="A12" s="73"/>
      <x:c r="B12" s="62"/>
      <x:c r="C12" s="62" t="str">
        <x:v>活动票 元每人次</x:v>
      </x:c>
      <x:c r="D12" s="64" t="n">
        <x:f>INDEX(E12:G12,1,$D$4)</x:f>
        <x:v>1200</x:v>
      </x:c>
      <x:c r="E12" s="76" t="n">
        <x:v>800</x:v>
      </x:c>
      <x:c r="F12" s="76" t="n">
        <x:v>1200</x:v>
      </x:c>
      <x:c r="G12" s="76" t="n">
        <x:v>1600</x:v>
      </x:c>
      <x:c r="H12" s="49" t="str">
        <x:v>无免费名额与折扣混合；不是行业均价</x:v>
      </x:c>
    </x:row>
    <x:row r="13" ht="31" customHeight="1">
      <x:c r="A13" s="73"/>
      <x:c r="B13" s="62"/>
      <x:c r="C13" s="62" t="str">
        <x:v>活动人均直接成本</x:v>
      </x:c>
      <x:c r="D13" s="64" t="n">
        <x:f>INDEX(E13:G13,1,$D$4)</x:f>
        <x:v>650</x:v>
      </x:c>
      <x:c r="E13" s="76" t="n">
        <x:v>500</x:v>
      </x:c>
      <x:c r="F13" s="76" t="n">
        <x:v>650</x:v>
      </x:c>
      <x:c r="G13" s="76" t="n">
        <x:v>800</x:v>
      </x:c>
      <x:c r="H13" s="49" t="str">
        <x:v>餐饮物料等，按实际含税报价修改</x:v>
      </x:c>
    </x:row>
    <x:row r="14" ht="31" customHeight="1">
      <x:c r="A14" s="73"/>
      <x:c r="B14" s="62"/>
      <x:c r="C14" s="62" t="str">
        <x:v>每场固定直接成本</x:v>
      </x:c>
      <x:c r="D14" s="64" t="n">
        <x:f>INDEX(E14:G14,1,$D$4)</x:f>
        <x:v>3500</x:v>
      </x:c>
      <x:c r="E14" s="76" t="n">
        <x:v>2500</x:v>
      </x:c>
      <x:c r="F14" s="76" t="n">
        <x:v>3500</x:v>
      </x:c>
      <x:c r="G14" s="76" t="n">
        <x:v>5000</x:v>
      </x:c>
      <x:c r="H14" s="49" t="str">
        <x:v>场地与主持执行，不与年固定人员成本重复</x:v>
      </x:c>
    </x:row>
    <x:row r="15" ht="31" customHeight="1">
      <x:c r="A15" s="73"/>
      <x:c r="B15" s="62"/>
      <x:c r="C15" s="62" t="str">
        <x:v>每会员年度服务变动成本</x:v>
      </x:c>
      <x:c r="D15" s="64" t="n">
        <x:f>INDEX(E15:G15,1,$D$4)</x:f>
        <x:v>2400</x:v>
      </x:c>
      <x:c r="E15" s="76" t="n">
        <x:v>1800</x:v>
      </x:c>
      <x:c r="F15" s="76" t="n">
        <x:v>2400</x:v>
      </x:c>
      <x:c r="G15" s="76" t="n">
        <x:v>3000</x:v>
      </x:c>
      <x:c r="H15" s="49" t="str">
        <x:v>不含已经在活动直接成本内的项目</x:v>
      </x:c>
    </x:row>
    <x:row r="16" ht="31" customHeight="1">
      <x:c r="A16" s="73"/>
      <x:c r="B16" s="62"/>
      <x:c r="C16" s="62" t="str">
        <x:v>年度固定人员及管理成本</x:v>
      </x:c>
      <x:c r="D16" s="64" t="n">
        <x:f>INDEX(E16:G16,1,$D$4)</x:f>
        <x:v>900000</x:v>
      </x:c>
      <x:c r="E16" s="76" t="n">
        <x:v>600000</x:v>
      </x:c>
      <x:c r="F16" s="76" t="n">
        <x:v>900000</x:v>
      </x:c>
      <x:c r="G16" s="76" t="n">
        <x:v>1400000</x:v>
      </x:c>
      <x:c r="H16" s="49" t="str">
        <x:v>应含创始人合理薪酬；固定场地需另加入</x:v>
      </x:c>
    </x:row>
    <x:row r="17" ht="31" customHeight="1">
      <x:c r="A17" s="73"/>
      <x:c r="B17" s="62"/>
      <x:c r="C17" s="62" t="str">
        <x:v>全年新增实付客户 人</x:v>
      </x:c>
      <x:c r="D17" s="64" t="n">
        <x:f>INDEX(E17:G17,1,$D$4)</x:f>
        <x:v>100</x:v>
      </x:c>
      <x:c r="E17" s="76" t="n">
        <x:v>60</x:v>
      </x:c>
      <x:c r="F17" s="76" t="n">
        <x:v>100</x:v>
      </x:c>
      <x:c r="G17" s="76" t="n">
        <x:v>160</x:v>
      </x:c>
      <x:c r="H17" s="49" t="str">
        <x:v>与等效会员不是同一概念，本例暂设同数</x:v>
      </x:c>
    </x:row>
    <x:row r="18" ht="31" customHeight="1">
      <x:c r="A18" s="73"/>
      <x:c r="B18" s="62"/>
      <x:c r="C18" s="62" t="str">
        <x:v>新增客户获客成本</x:v>
      </x:c>
      <x:c r="D18" s="64" t="n">
        <x:f>INDEX(E18:G18,1,$D$4)</x:f>
        <x:v>3500</x:v>
      </x:c>
      <x:c r="E18" s="76" t="n">
        <x:v>2500</x:v>
      </x:c>
      <x:c r="F18" s="76" t="n">
        <x:v>3500</x:v>
      </x:c>
      <x:c r="G18" s="76" t="n">
        <x:v>5000</x:v>
      </x:c>
      <x:c r="H18" s="49" t="str">
        <x:v>假设值；无公开竞品有效线索与成本分母</x:v>
      </x:c>
    </x:row>
    <x:row r="19" ht="31" customHeight="1">
      <x:c r="A19" s="73"/>
      <x:c r="B19" s="62"/>
      <x:c r="C19" s="62" t="str">
        <x:v>会费退款准备比例</x:v>
      </x:c>
      <x:c r="D19" s="66" t="n">
        <x:f>INDEX(E19:G19,1,$D$4)</x:f>
        <x:v>0.08</x:v>
      </x:c>
      <x:c r="E19" s="77" t="n">
        <x:v>0.1</x:v>
      </x:c>
      <x:c r="F19" s="77" t="n">
        <x:v>0.08</x:v>
      </x:c>
      <x:c r="G19" s="77" t="n">
        <x:v>0.06</x:v>
      </x:c>
      <x:c r="H19" s="49" t="str">
        <x:v>简化扣减，非合同实际退费或会计计提</x:v>
      </x:c>
    </x:row>
    <x:row r="20" ht="31" customHeight="1">
      <x:c r="A20" s="73"/>
      <x:c r="B20" s="62"/>
      <x:c r="C20" s="62" t="str">
        <x:v>期初可用现金</x:v>
      </x:c>
      <x:c r="D20" s="64" t="n">
        <x:f>INDEX(E20:G20,1,$D$4)</x:f>
        <x:v>1000000</x:v>
      </x:c>
      <x:c r="E20" s="76" t="n">
        <x:v>1000000</x:v>
      </x:c>
      <x:c r="F20" s="76" t="n">
        <x:v>1000000</x:v>
      </x:c>
      <x:c r="G20" s="76" t="n">
        <x:v>1000000</x:v>
      </x:c>
      <x:c r="H20" s="49" t="str">
        <x:v>拟投入假设，不表示已有资金</x:v>
      </x:c>
    </x:row>
    <x:row r="21" ht="31" customHeight="1">
      <x:c r="A21" s="73"/>
      <x:c r="B21" s="62"/>
      <x:c r="C21" s="62" t="str">
        <x:v>一次性启动支出</x:v>
      </x:c>
      <x:c r="D21" s="64" t="n">
        <x:f>INDEX(E21:G21,1,$D$4)</x:f>
        <x:v>200000</x:v>
      </x:c>
      <x:c r="E21" s="76" t="n">
        <x:v>200000</x:v>
      </x:c>
      <x:c r="F21" s="76" t="n">
        <x:v>200000</x:v>
      </x:c>
      <x:c r="G21" s="76" t="n">
        <x:v>200000</x:v>
      </x:c>
      <x:c r="H21" s="49" t="str">
        <x:v>现金支出，不在本例年度经营余额中折旧</x:v>
      </x:c>
    </x:row>
    <x:row r="22" ht="31" customHeight="1">
      <x:c r="A22" s="73"/>
      <x:c r="B22" s="62"/>
      <x:c r="C22" s="62" t="str">
        <x:v>未来交付现金留存比例</x:v>
      </x:c>
      <x:c r="D22" s="66" t="n">
        <x:f>INDEX(E22:G22,1,$D$4)</x:f>
        <x:v>0.25</x:v>
      </x:c>
      <x:c r="E22" s="77" t="n">
        <x:v>0.25</x:v>
      </x:c>
      <x:c r="F22" s="77" t="n">
        <x:v>0.25</x:v>
      </x:c>
      <x:c r="G22" s="77" t="n">
        <x:v>0.25</x:v>
      </x:c>
      <x:c r="H22" s="49" t="str">
        <x:v>对净会费收款留存的管理假设，非会计合同负债</x:v>
      </x:c>
    </x:row>
    <x:row r="23" ht="31" customHeight="1">
      <x:c r="A23" s="73"/>
      <x:c r="B23" s="62"/>
      <x:c r="C23" s="62"/>
      <x:c r="D23" s="64"/>
      <x:c r="E23" s="64"/>
      <x:c r="F23" s="64"/>
      <x:c r="G23" s="64"/>
      <x:c r="H23" s="62"/>
    </x:row>
    <x:row r="24" ht="31" customHeight="1">
      <x:c r="A24" s="73"/>
      <x:c r="B24" s="62"/>
      <x:c r="C24" s="62"/>
      <x:c r="D24" s="64"/>
      <x:c r="E24" s="64"/>
      <x:c r="F24" s="64"/>
      <x:c r="G24" s="64"/>
      <x:c r="H24" s="62"/>
    </x:row>
    <x:row r="25" ht="31" customHeight="1">
      <x:c r="A25" s="73"/>
      <x:c r="B25" s="62"/>
      <x:c r="C25" s="62"/>
      <x:c r="D25" s="64"/>
      <x:c r="E25" s="64"/>
      <x:c r="F25" s="64"/>
      <x:c r="G25" s="64"/>
      <x:c r="H25" s="62"/>
    </x:row>
    <x:row r="26" ht="31" customHeight="1">
      <x:c r="A26" s="73"/>
      <x:c r="B26" s="62"/>
      <x:c r="C26" s="62" t="str">
        <x:v>全年付费活动 场</x:v>
      </x:c>
      <x:c r="D26" s="64" t="n">
        <x:f>D10*12</x:f>
        <x:v>36</x:v>
      </x:c>
      <x:c r="E26" s="64"/>
      <x:c r="F26" s="64"/>
      <x:c r="G26" s="64"/>
      <x:c r="H26" s="49" t="str">
        <x:v>活动数并非经营效果本身</x:v>
      </x:c>
    </x:row>
    <x:row r="27" ht="31" customHeight="1">
      <x:c r="A27" s="73"/>
      <x:c r="B27" s="62"/>
      <x:c r="C27" s="62" t="str">
        <x:v>会费毛收款 等效口径</x:v>
      </x:c>
      <x:c r="D27" s="64" t="n">
        <x:f>D8*D9</x:f>
        <x:v>1800000</x:v>
      </x:c>
      <x:c r="E27" s="64"/>
      <x:c r="F27" s="64"/>
      <x:c r="G27" s="64"/>
      <x:c r="H27" s="49" t="str">
        <x:v>简化全年收款假设，实际须按合同月份确认</x:v>
      </x:c>
    </x:row>
    <x:row r="28" ht="31" customHeight="1">
      <x:c r="A28" s="73"/>
      <x:c r="B28" s="62"/>
      <x:c r="C28" s="62" t="str">
        <x:v>会费退款准备</x:v>
      </x:c>
      <x:c r="D28" s="64" t="n">
        <x:f>D27*D19</x:f>
        <x:v>144000</x:v>
      </x:c>
      <x:c r="E28" s="64"/>
      <x:c r="F28" s="64"/>
      <x:c r="G28" s="64"/>
      <x:c r="H28" s="49" t="str">
        <x:v>管理情景扣减</x:v>
      </x:c>
    </x:row>
    <x:row r="29" ht="31" customHeight="1">
      <x:c r="A29" s="73"/>
      <x:c r="B29" s="62"/>
      <x:c r="C29" s="78" t="str">
        <x:v>净会费收款 等效口径</x:v>
      </x:c>
      <x:c r="D29" s="79" t="n">
        <x:f>D27-D28</x:f>
        <x:v>1656000</x:v>
      </x:c>
      <x:c r="E29" s="79"/>
      <x:c r="F29" s="79"/>
      <x:c r="G29" s="79"/>
      <x:c r="H29" s="80" t="str">
        <x:v>模型同时用作等效经营收入，非会计收入确认</x:v>
      </x:c>
    </x:row>
    <x:row r="30" ht="31" customHeight="1">
      <x:c r="A30" s="73"/>
      <x:c r="B30" s="62"/>
      <x:c r="C30" s="62" t="str">
        <x:v>活动票收入</x:v>
      </x:c>
      <x:c r="D30" s="64" t="n">
        <x:f>D26*D11*D12</x:f>
        <x:v>691200</x:v>
      </x:c>
      <x:c r="E30" s="64"/>
      <x:c r="F30" s="64"/>
      <x:c r="G30" s="64"/>
      <x:c r="H30" s="49" t="str">
        <x:v>活动额外收费的可交付席位</x:v>
      </x:c>
    </x:row>
    <x:row r="31" ht="31" customHeight="1">
      <x:c r="A31" s="73"/>
      <x:c r="B31" s="62"/>
      <x:c r="C31" s="62" t="str">
        <x:v>活动直接成本</x:v>
      </x:c>
      <x:c r="D31" s="64" t="n">
        <x:f>D26*(D11*D13+D14)</x:f>
        <x:v>500400</x:v>
      </x:c>
      <x:c r="E31" s="64"/>
      <x:c r="F31" s="64"/>
      <x:c r="G31" s="64"/>
      <x:c r="H31" s="49" t="str">
        <x:v>人数变动与单场固定直接成本</x:v>
      </x:c>
    </x:row>
    <x:row r="32" ht="31" customHeight="1">
      <x:c r="A32" s="73"/>
      <x:c r="B32" s="62"/>
      <x:c r="C32" s="78" t="str">
        <x:v>活动贡献</x:v>
      </x:c>
      <x:c r="D32" s="79" t="n">
        <x:f>D30-D31</x:f>
        <x:v>190800</x:v>
      </x:c>
      <x:c r="E32" s="79"/>
      <x:c r="F32" s="79"/>
      <x:c r="G32" s="79"/>
      <x:c r="H32" s="80" t="str">
        <x:v>固定管理成本尚未扣除</x:v>
      </x:c>
    </x:row>
    <x:row r="33" ht="31" customHeight="1">
      <x:c r="A33" s="73"/>
      <x:c r="B33" s="62"/>
      <x:c r="C33" s="62" t="str">
        <x:v>会员年度服务成本</x:v>
      </x:c>
      <x:c r="D33" s="64" t="n">
        <x:f>D8*D15</x:f>
        <x:v>240000</x:v>
      </x:c>
      <x:c r="E33" s="64"/>
      <x:c r="F33" s="64"/>
      <x:c r="G33" s="64"/>
      <x:c r="H33" s="49" t="str">
        <x:v>与活动成本分开</x:v>
      </x:c>
    </x:row>
    <x:row r="34" ht="31" customHeight="1">
      <x:c r="A34" s="73"/>
      <x:c r="B34" s="62"/>
      <x:c r="C34" s="62" t="str">
        <x:v>固定人员与管理成本</x:v>
      </x:c>
      <x:c r="D34" s="64" t="n">
        <x:f>D16</x:f>
        <x:v>900000</x:v>
      </x:c>
      <x:c r="E34" s="64"/>
      <x:c r="F34" s="64"/>
      <x:c r="G34" s="64"/>
      <x:c r="H34" s="49" t="str">
        <x:v>不含启动现金支出</x:v>
      </x:c>
    </x:row>
    <x:row r="35" ht="31" customHeight="1">
      <x:c r="A35" s="73"/>
      <x:c r="B35" s="62"/>
      <x:c r="C35" s="62" t="str">
        <x:v>新增客户获客预算</x:v>
      </x:c>
      <x:c r="D35" s="64" t="n">
        <x:f>D17*D18</x:f>
        <x:v>350000</x:v>
      </x:c>
      <x:c r="E35" s="64"/>
      <x:c r="F35" s="64"/>
      <x:c r="G35" s="64"/>
      <x:c r="H35" s="49" t="str">
        <x:v>盈亏平衡测算中暂固定此预算</x:v>
      </x:c>
    </x:row>
    <x:row r="36" ht="31" customHeight="1">
      <x:c r="A36" s="73"/>
      <x:c r="B36" s="62"/>
      <x:c r="C36" s="78" t="str">
        <x:v>税前年度经营余额</x:v>
      </x:c>
      <x:c r="D36" s="79" t="n">
        <x:f>D29+D32-D33-D34-D35</x:f>
        <x:v>356800</x:v>
      </x:c>
      <x:c r="E36" s="79"/>
      <x:c r="F36" s="79"/>
      <x:c r="G36" s="79"/>
      <x:c r="H36" s="80" t="str">
        <x:v>未含税、借贷、折旧及可能新增固定场地</x:v>
      </x:c>
    </x:row>
    <x:row r="37" ht="31" customHeight="1">
      <x:c r="A37" s="73"/>
      <x:c r="B37" s="62"/>
      <x:c r="C37" s="62" t="str">
        <x:v>每等效会员单位贡献</x:v>
      </x:c>
      <x:c r="D37" s="64" t="n">
        <x:f>D9*(1-D19)-D15</x:f>
        <x:v>14160</x:v>
      </x:c>
      <x:c r="E37" s="64"/>
      <x:c r="F37" s="64"/>
      <x:c r="G37" s="64"/>
      <x:c r="H37" s="49" t="str">
        <x:v>活动贡献独立扣抵固定成本</x:v>
      </x:c>
    </x:row>
    <x:row r="38" ht="31" customHeight="1">
      <x:c r="A38" s="73"/>
      <x:c r="B38" s="62"/>
      <x:c r="C38" s="78" t="str">
        <x:v>盈亏平衡等效会员 人</x:v>
      </x:c>
      <x:c r="D38" s="79" t="n">
        <x:f>IF(D37&lt;=0,"不可达",MAX(0,ROUNDUP((D34+D35-D32)/D37,0)))</x:f>
        <x:v>75</x:v>
      </x:c>
      <x:c r="E38" s="79"/>
      <x:c r="F38" s="79"/>
      <x:c r="G38" s="79"/>
      <x:c r="H38" s="80" t="str">
        <x:v>当前活动贡献及获客预算固定，人数改变需重算获客</x:v>
      </x:c>
    </x:row>
    <x:row r="39" ht="31" customHeight="1">
      <x:c r="A39" s="73"/>
      <x:c r="B39" s="62"/>
      <x:c r="C39" s="62" t="str">
        <x:v>全年付费席位 人次</x:v>
      </x:c>
      <x:c r="D39" s="64" t="n">
        <x:f>D26*D11</x:f>
        <x:v>576</x:v>
      </x:c>
      <x:c r="E39" s="64"/>
      <x:c r="F39" s="64"/>
      <x:c r="G39" s="64"/>
      <x:c r="H39" s="49" t="str">
        <x:v>不代表去重参加人数</x:v>
      </x:c>
    </x:row>
    <x:row r="40" ht="31" customHeight="1">
      <x:c r="A40" s="73"/>
      <x:c r="B40" s="62"/>
      <x:c r="C40" s="62" t="str">
        <x:v>席位除以会员 次每人</x:v>
      </x:c>
      <x:c r="D40" s="71" t="n">
        <x:f>IF(D8&lt;=0,"无会员分母",D39/D8)</x:f>
        <x:v>5.76</x:v>
      </x:c>
      <x:c r="E40" s="64"/>
      <x:c r="F40" s="64"/>
      <x:c r="G40" s="64"/>
      <x:c r="H40" s="49" t="str">
        <x:v>只有全部席位供会员时才代表平均可用次数</x:v>
      </x:c>
    </x:row>
    <x:row r="41" ht="31" customHeight="1">
      <x:c r="A41" s="73"/>
      <x:c r="B41" s="62"/>
      <x:c r="C41" s="62" t="str">
        <x:v>期初现金</x:v>
      </x:c>
      <x:c r="D41" s="64" t="n">
        <x:f>D20</x:f>
        <x:v>1000000</x:v>
      </x:c>
      <x:c r="E41" s="64"/>
      <x:c r="F41" s="64"/>
      <x:c r="G41" s="64"/>
      <x:c r="H41" s="49" t="str">
        <x:v>资金投入假设</x:v>
      </x:c>
    </x:row>
    <x:row r="42" ht="31" customHeight="1">
      <x:c r="A42" s="73"/>
      <x:c r="B42" s="62"/>
      <x:c r="C42" s="62" t="str">
        <x:v>启动支出现金</x:v>
      </x:c>
      <x:c r="D42" s="64" t="n">
        <x:f>D21</x:f>
        <x:v>200000</x:v>
      </x:c>
      <x:c r="E42" s="64"/>
      <x:c r="F42" s="64"/>
      <x:c r="G42" s="64"/>
      <x:c r="H42" s="49" t="str">
        <x:v>仅列现金影响</x:v>
      </x:c>
    </x:row>
    <x:row r="43" ht="31" customHeight="1">
      <x:c r="A43" s="73"/>
      <x:c r="B43" s="62"/>
      <x:c r="C43" s="78" t="str">
        <x:v>简化期末现金</x:v>
      </x:c>
      <x:c r="D43" s="79" t="n">
        <x:f>D41+D36-D42</x:f>
        <x:v>1156800</x:v>
      </x:c>
      <x:c r="E43" s="79"/>
      <x:c r="F43" s="79"/>
      <x:c r="G43" s="79"/>
      <x:c r="H43" s="80" t="str">
        <x:v>假定年度收入全额收妥且成本当年支付</x:v>
      </x:c>
    </x:row>
    <x:row r="44" ht="31" customHeight="1">
      <x:c r="A44" s="73"/>
      <x:c r="B44" s="62"/>
      <x:c r="C44" s="62" t="str">
        <x:v>未来交付现金留存</x:v>
      </x:c>
      <x:c r="D44" s="64" t="n">
        <x:f>D29*D22</x:f>
        <x:v>414000</x:v>
      </x:c>
      <x:c r="E44" s="64"/>
      <x:c r="F44" s="64"/>
      <x:c r="G44" s="64"/>
      <x:c r="H44" s="49" t="str">
        <x:v>管理假设，并非按合同计算未履约余额</x:v>
      </x:c>
    </x:row>
    <x:row r="45" ht="31" customHeight="1">
      <x:c r="A45" s="73"/>
      <x:c r="B45" s="62"/>
      <x:c r="C45" s="78" t="str">
        <x:v>扣留存后可用现金</x:v>
      </x:c>
      <x:c r="D45" s="79" t="n">
        <x:f>D43-D44</x:f>
        <x:v>742800</x:v>
      </x:c>
      <x:c r="E45" s="79"/>
      <x:c r="F45" s="79"/>
      <x:c r="G45" s="79"/>
      <x:c r="H45" s="80" t="str">
        <x:v>不能代替按月现金流与法定收入确认</x:v>
      </x:c>
    </x:row>
    <x:row r="46" ht="31" customHeight="1">
      <x:c r="A46" s="73"/>
      <x:c r="B46" s="62"/>
      <x:c r="C46" s="62"/>
      <x:c r="D46" s="62"/>
      <x:c r="E46" s="62"/>
      <x:c r="F46" s="62"/>
      <x:c r="G46" s="62"/>
      <x:c r="H46" s="62"/>
    </x:row>
    <x:row r="47" ht="31" customHeight="1">
      <x:c r="A47" s="73"/>
      <x:c r="B47" s="62"/>
      <x:c r="C47" s="62"/>
      <x:c r="D47" s="62"/>
      <x:c r="E47" s="62"/>
      <x:c r="F47" s="62"/>
      <x:c r="G47" s="62"/>
      <x:c r="H47" s="62"/>
    </x:row>
    <x:row r="48" ht="27" customHeight="1">
      <x:c r="A48" s="73"/>
      <x:c r="B48" s="62"/>
      <x:c r="C48" s="49" t="str">
        <x:v>所有数字为可编辑的研究假设。该年度等效模型用于比较定价、容量和成本条件；不是月度现金流预测。正式预算需补入分月招募、合同履约和收入确认、真实退款、税费、旅行合作净收入、固定租赁与供应商付款节奏。</x:v>
      </x:c>
      <x:c r="D48" s="49"/>
      <x:c r="E48" s="49"/>
      <x:c r="F48" s="49"/>
      <x:c r="G48" s="49"/>
      <x:c r="H48" s="49"/>
    </x:row>
    <x:row r="49" ht="27" customHeight="1">
      <x:c r="A49" s="73"/>
      <x:c r="B49" s="62"/>
      <x:c r="C49" s="49"/>
      <x:c r="D49" s="49"/>
      <x:c r="E49" s="49"/>
      <x:c r="F49" s="49"/>
      <x:c r="G49" s="49"/>
      <x:c r="H49" s="49"/>
    </x:row>
    <x:row r="50" ht="31" customHeight="1">
      <x:c r="A50" s="73"/>
      <x:c r="B50" s="62"/>
      <x:c r="C50" s="62"/>
      <x:c r="D50" s="62"/>
      <x:c r="E50" s="62"/>
      <x:c r="F50" s="62"/>
      <x:c r="G50" s="62"/>
      <x:c r="H50" s="62"/>
    </x:row>
    <x:row r="51" ht="31" customHeight="1">
      <x:c r="A51" s="73"/>
      <x:c r="B51" s="62"/>
      <x:c r="C51" s="62"/>
      <x:c r="D51" s="62"/>
      <x:c r="E51" s="62"/>
      <x:c r="F51" s="62"/>
      <x:c r="G51" s="62"/>
      <x:c r="H51" s="62"/>
    </x:row>
    <x:row r="52" ht="31" customHeight="1">
      <x:c r="A52" s="73"/>
      <x:c r="B52" s="62"/>
      <x:c r="C52" s="62"/>
      <x:c r="D52" s="62"/>
      <x:c r="E52" s="62"/>
      <x:c r="F52" s="62"/>
      <x:c r="G52" s="62"/>
      <x:c r="H52" s="62"/>
    </x:row>
  </x:sheetData>
  <x:mergeCells>
    <x:mergeCell ref="C2:H2"/>
    <x:mergeCell ref="E4:H4"/>
    <x:mergeCell ref="C48:H49"/>
  </x:mergeCells>
  <x:conditionalFormatting sqref="D36:D36">
    <x:cfRule type="cellIs" dxfId="0" priority="1" operator="lessThan">
      <x:formula>0</x:formula>
    </x:cfRule>
  </x:conditionalFormatting>
  <x:dataValidations count="1">
    <x:dataValidation type="list" sqref="D4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3" hidden="0" customWidth="1"/>
    <x:col min="4" max="4" width="24" hidden="0" customWidth="1"/>
    <x:col min="5" max="5" width="35" hidden="0" customWidth="1"/>
    <x:col min="6" max="6" width="26" hidden="0" customWidth="1"/>
    <x:col min="7" max="7" width="34" hidden="0" customWidth="1"/>
    <x:col min="8" max="8" width="44" hidden="0" customWidth="1"/>
    <x:col min="9" max="9" width="34" hidden="0" customWidth="1"/>
    <x:col min="10" max="10" width="30" hidden="0" customWidth="1"/>
    <x:col min="11" max="11" width="22" hidden="0" customWidth="1"/>
    <x:col min="12" max="12" width="22" hidden="0" customWidth="1"/>
    <x:col min="13" max="13" width="50" hidden="0" customWidth="1"/>
    <x:col min="14" max="14" width="18" hidden="0" customWidth="1"/>
  </x:cols>
  <x:sheetData>
    <x:row r="1" ht="30" customHeight="1">
      <x:c r="A1" s="53" t="str">
        <x:v>15家比较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32" customHeight="1">
      <x:c r="A2" s="54" t="str">
        <x:v>采集截止 2026-10-21　|　不是同类排行榜；会员和经济性未知不记零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 ht="30" customHeight="1">
      <x:c r="A4" s="59" t="str">
        <x:v>机构ID</x:v>
      </x:c>
      <x:c r="B4" s="59" t="str">
        <x:v>机构</x:v>
      </x:c>
      <x:c r="C4" s="59" t="str">
        <x:v>城市或覆盖</x:v>
      </x:c>
      <x:c r="D4" s="59" t="str">
        <x:v>类别</x:v>
      </x:c>
      <x:c r="E4" s="59" t="str">
        <x:v>主要产品</x:v>
      </x:c>
      <x:c r="F4" s="59" t="str">
        <x:v>收费模式</x:v>
      </x:c>
      <x:c r="G4" s="59" t="str">
        <x:v>品牌目标客户</x:v>
      </x:c>
      <x:c r="H4" s="59" t="str">
        <x:v>公开权益</x:v>
      </x:c>
      <x:c r="I4" s="59" t="str">
        <x:v>获客入口</x:v>
      </x:c>
      <x:c r="J4" s="59" t="str">
        <x:v>交付主体</x:v>
      </x:c>
      <x:c r="K4" s="59" t="str">
        <x:v>有效付费会员</x:v>
      </x:c>
      <x:c r="L4" s="59" t="str">
        <x:v>经营经济性</x:v>
      </x:c>
      <x:c r="M4" s="59" t="str">
        <x:v>分析及限制</x:v>
      </x:c>
      <x:c r="N4" s="59" t="str">
        <x:v>源ID</x:v>
      </x:c>
    </x:row>
    <x:row r="5" ht="28" customHeight="1">
      <x:c r="A5" s="60" t="str">
        <x:v>O01</x:v>
      </x:c>
      <x:c r="B5" s="60" t="str">
        <x:v>京城俱乐部</x:v>
      </x:c>
      <x:c r="C5" s="60" t="str">
        <x:v>北京</x:v>
      </x:c>
      <x:c r="D5" s="60" t="str">
        <x:v>综合会员与生活方式</x:v>
      </x:c>
      <x:c r="E5" s="60" t="str">
        <x:v>会籍 餐饮 康乐 活动</x:v>
      </x:c>
      <x:c r="F5" s="60" t="str">
        <x:v>场景会籍 可额外消费</x:v>
      </x:c>
      <x:c r="G5" s="60" t="str">
        <x:v>中外商务人士及家庭</x:v>
      </x:c>
      <x:c r="H5" s="60" t="str">
        <x:v>会籍期限待核；包间设施活动邀约</x:v>
      </x:c>
      <x:c r="I5" s="60" t="str">
        <x:v>会员及顾问咨询 S23</x:v>
      </x:c>
      <x:c r="J5" s="60" t="str">
        <x:v>自有场地加合作活动</x:v>
      </x:c>
      <x:c r="K5" s="60" t="str">
        <x:v>未公开核实</x:v>
      </x:c>
      <x:c r="L5" s="60" t="str">
        <x:v>未公开核实</x:v>
      </x:c>
      <x:c r="M5" s="60" t="str">
        <x:v>持续可用空间降低组织成本；复制需场地与服务团队</x:v>
      </x:c>
      <x:c r="N5" s="60" t="str">
        <x:v>S22</x:v>
      </x:c>
    </x:row>
    <x:row r="6" ht="36" customHeight="1">
      <x:c r="A6" s="60" t="str">
        <x:v>O02</x:v>
      </x:c>
      <x:c r="B6" s="60" t="str">
        <x:v>HIGHER CLUB</x:v>
      </x:c>
      <x:c r="C6" s="60" t="str">
        <x:v>上海 杭州 深圳网络自述</x:v>
      </x:c>
      <x:c r="D6" s="60" t="str">
        <x:v>综合会员与生活方式</x:v>
      </x:c>
      <x:c r="E6" s="60" t="str">
        <x:v>闭门晚宴 艺术 创始人对谈</x:v>
      </x:c>
      <x:c r="F6" s="60" t="str">
        <x:v>审核会籍 品牌合作</x:v>
      </x:c>
      <x:c r="G6" s="60" t="str">
        <x:v>年轻高净值与企业家二代 自述</x:v>
      </x:c>
      <x:c r="H6" s="60" t="str">
        <x:v>期限与包含活动未知</x:v>
      </x:c>
      <x:c r="I6" s="60" t="str">
        <x:v>扫码添加联系人 S37</x:v>
      </x:c>
      <x:c r="J6" s="60" t="str">
        <x:v>创始团队及合作方</x:v>
      </x:c>
      <x:c r="K6" s="60" t="str">
        <x:v>未公开核实</x:v>
      </x:c>
      <x:c r="L6" s="60" t="str">
        <x:v>未公开核实</x:v>
      </x:c>
      <x:c r="M6" s="60" t="str">
        <x:v>对会员质量和创始资源依赖高；交易与留存未披露</x:v>
      </x:c>
      <x:c r="N6" s="60" t="str">
        <x:v>S37</x:v>
      </x:c>
    </x:row>
    <x:row r="7" ht="28" customHeight="1">
      <x:c r="A7" s="60" t="str">
        <x:v>O08</x:v>
      </x:c>
      <x:c r="B7" s="60" t="str">
        <x:v>伟事达中国</x:v>
      </x:c>
      <x:c r="C7" s="60" t="str">
        <x:v>上海运营 全国</x:v>
      </x:c>
      <x:c r="D7" s="60" t="str">
        <x:v>企业家与私董会</x:v>
      </x:c>
      <x:c r="E7" s="60" t="str">
        <x:v>CE SE KE VI</x:v>
      </x:c>
      <x:c r="F7" s="60" t="str">
        <x:v>分层年费 企业定制</x:v>
      </x:c>
      <x:c r="G7" s="60" t="str">
        <x:v>企业一号位及高管</x:v>
      </x:c>
      <x:c r="H7" s="60" t="str">
        <x:v>结构化年度服务 S28</x:v>
      </x:c>
      <x:c r="I7" s="60" t="str">
        <x:v>体验会 面试 组员认可 S30</x:v>
      </x:c>
      <x:c r="J7" s="60" t="str">
        <x:v>教练 专家 同侪</x:v>
      </x:c>
      <x:c r="K7" s="60" t="str">
        <x:v>未公开核实</x:v>
      </x:c>
      <x:c r="L7" s="60" t="str">
        <x:v>未公开核实</x:v>
      </x:c>
      <x:c r="M7" s="60" t="str">
        <x:v>为具体决策支持付费；不同于普通饭局</x:v>
      </x:c>
      <x:c r="N7" s="60" t="str">
        <x:v>S28</x:v>
      </x:c>
    </x:row>
    <x:row r="8" ht="28" customHeight="1">
      <x:c r="A8" s="60" t="str">
        <x:v>O09</x:v>
      </x:c>
      <x:c r="B8" s="60" t="str">
        <x:v>EO China East</x:v>
      </x:c>
      <x:c r="C8" s="60" t="str">
        <x:v>华东</x:v>
      </x:c>
      <x:c r="D8" s="60" t="str">
        <x:v>企业家与私董会</x:v>
      </x:c>
      <x:c r="E8" s="60" t="str">
        <x:v>同侪网络 分会活动</x:v>
      </x:c>
      <x:c r="F8" s="60" t="str">
        <x:v>全球加地方会费</x:v>
      </x:c>
      <x:c r="G8" s="60" t="str">
        <x:v>企业所有者</x:v>
      </x:c>
      <x:c r="H8" s="60" t="str">
        <x:v>全球年费；地方字段需核实</x:v>
      </x:c>
      <x:c r="I8" s="60" t="str">
        <x:v>会员资格与分会联系入口</x:v>
      </x:c>
      <x:c r="J8" s="60" t="str">
        <x:v>分会及全球网络</x:v>
      </x:c>
      <x:c r="K8" s="60" t="str">
        <x:v>未公开核实</x:v>
      </x:c>
      <x:c r="L8" s="60" t="str">
        <x:v>未公开核实</x:v>
      </x:c>
      <x:c r="M8" s="60" t="str">
        <x:v>有分会会员数，缺中国实际收费完整性</x:v>
      </x:c>
      <x:c r="N8" s="60" t="str">
        <x:v>S38</x:v>
      </x:c>
    </x:row>
    <x:row r="9" ht="28" customHeight="1">
      <x:c r="A9" s="60" t="str">
        <x:v>O10</x:v>
      </x:c>
      <x:c r="B9" s="60" t="str">
        <x:v>正和岛</x:v>
      </x:c>
      <x:c r="C9" s="60" t="str">
        <x:v>全国</x:v>
      </x:c>
      <x:c r="D9" s="60" t="str">
        <x:v>企业家与私董会</x:v>
      </x:c>
      <x:c r="E9" s="60" t="str">
        <x:v>案例共学 商业链接 社群</x:v>
      </x:c>
      <x:c r="F9" s="60" t="str">
        <x:v>会员及平台服务 现价未知</x:v>
      </x:c>
      <x:c r="G9" s="60" t="str">
        <x:v>企业家及创业者</x:v>
      </x:c>
      <x:c r="H9" s="60" t="str">
        <x:v>个人与企业服务边界待核</x:v>
      </x:c>
      <x:c r="I9" s="60" t="str">
        <x:v>APP 内容矩阵</x:v>
      </x:c>
      <x:c r="J9" s="60" t="str">
        <x:v>平台及区域组织</x:v>
      </x:c>
      <x:c r="K9" s="60" t="str">
        <x:v>未公开核实</x:v>
      </x:c>
      <x:c r="L9" s="60" t="str">
        <x:v>未公开核实</x:v>
      </x:c>
      <x:c r="M9" s="60" t="str">
        <x:v>媒体触达和服务企业不是付费会员</x:v>
      </x:c>
      <x:c r="N9" s="60" t="str">
        <x:v>S39</x:v>
      </x:c>
    </x:row>
    <x:row r="10" ht="36" customHeight="1">
      <x:c r="A10" s="60" t="str">
        <x:v>O21</x:v>
      </x:c>
      <x:c r="B10" s="60" t="str">
        <x:v>深圳市侨商国际联合会</x:v>
      </x:c>
      <x:c r="C10" s="60" t="str">
        <x:v>深圳</x:v>
      </x:c>
      <x:c r="D10" s="60" t="str">
        <x:v>商协会与渠道</x:v>
      </x:c>
      <x:c r="E10" s="60" t="str">
        <x:v>商会活动 企业联络</x:v>
      </x:c>
      <x:c r="F10" s="60" t="str">
        <x:v>分层组织会费</x:v>
      </x:c>
      <x:c r="G10" s="60" t="str">
        <x:v>具有侨港澳联系的企业及个人</x:v>
      </x:c>
      <x:c r="H10" s="60" t="str">
        <x:v>3000元起为普通会费 非商业套餐</x:v>
      </x:c>
      <x:c r="I10" s="60" t="str">
        <x:v>申请表审核</x:v>
      </x:c>
      <x:c r="J10" s="60" t="str">
        <x:v>组织委员会</x:v>
      </x:c>
      <x:c r="K10" s="60" t="str">
        <x:v>未公开核实</x:v>
      </x:c>
      <x:c r="L10" s="60" t="str">
        <x:v>未公开核实</x:v>
      </x:c>
      <x:c r="M10" s="60" t="str">
        <x:v>有低于高端会籍的网络替代；资格非人人可得</x:v>
      </x:c>
      <x:c r="N10" s="60" t="str">
        <x:v>S40</x:v>
      </x:c>
    </x:row>
    <x:row r="11" ht="28" customHeight="1">
      <x:c r="A11" s="60" t="str">
        <x:v>O22</x:v>
      </x:c>
      <x:c r="B11" s="60" t="str">
        <x:v>上海美国商会</x:v>
      </x:c>
      <x:c r="C11" s="60" t="str">
        <x:v>上海</x:v>
      </x:c>
      <x:c r="D11" s="60" t="str">
        <x:v>商协会与渠道</x:v>
      </x:c>
      <x:c r="E11" s="60" t="str">
        <x:v>商务活动 企业学习 家庭延伸</x:v>
      </x:c>
      <x:c r="F11" s="60" t="str">
        <x:v>会籍加活动票</x:v>
      </x:c>
      <x:c r="G11" s="60" t="str">
        <x:v>会员企业与员工家庭</x:v>
      </x:c>
      <x:c r="H11" s="60" t="str">
        <x:v>3500/6000是单次青少年项目</x:v>
      </x:c>
      <x:c r="I11" s="60" t="str">
        <x:v>官网及Glue Up报名</x:v>
      </x:c>
      <x:c r="J11" s="60" t="str">
        <x:v>组织及接待企业</x:v>
      </x:c>
      <x:c r="K11" s="60" t="str">
        <x:v>未公开核实</x:v>
      </x:c>
      <x:c r="L11" s="60" t="str">
        <x:v>未公开核实</x:v>
      </x:c>
      <x:c r="M11" s="60" t="str">
        <x:v>会员折扣可形成独立权益，但无成人定价类推</x:v>
      </x:c>
      <x:c r="N11" s="60" t="str">
        <x:v>S41</x:v>
      </x:c>
    </x:row>
    <x:row r="12" ht="28" customHeight="1">
      <x:c r="A12" s="60" t="str">
        <x:v>O24</x:v>
      </x:c>
      <x:c r="B12" s="60" t="str">
        <x:v>耀悦</x:v>
      </x:c>
      <x:c r="C12" s="60" t="str">
        <x:v>北京服务 全国招募</x:v>
      </x:c>
      <x:c r="D12" s="60" t="str">
        <x:v>旅行及体验</x:v>
      </x:c>
      <x:c r="E12" s="60" t="str">
        <x:v>私享 招募团 游学 列车邮轮</x:v>
      </x:c>
      <x:c r="F12" s="60" t="str">
        <x:v>按团产品及定制</x:v>
      </x:c>
      <x:c r="G12" s="60" t="str">
        <x:v>精英消费者 家庭及机构</x:v>
      </x:c>
      <x:c r="H12" s="60" t="str">
        <x:v>按人起价；权益按线路</x:v>
      </x:c>
      <x:c r="I12" s="60" t="str">
        <x:v>主题内容 联系顾问 定制申请</x:v>
      </x:c>
      <x:c r="J12" s="60" t="str">
        <x:v>旅游服务网络</x:v>
      </x:c>
      <x:c r="K12" s="60" t="str">
        <x:v>未公开核实</x:v>
      </x:c>
      <x:c r="L12" s="60" t="str">
        <x:v>未公开核实</x:v>
      </x:c>
      <x:c r="M12" s="60" t="str">
        <x:v>共同旅行不等于按资产筛选的社交小团</x:v>
      </x:c>
      <x:c r="N12" s="60" t="str">
        <x:v>S33</x:v>
      </x:c>
    </x:row>
    <x:row r="13" ht="28" customHeight="1">
      <x:c r="A13" s="60" t="str">
        <x:v>O25</x:v>
      </x:c>
      <x:c r="B13" s="60" t="str">
        <x:v>鸿鹄逸游</x:v>
      </x:c>
      <x:c r="C13" s="60" t="str">
        <x:v>全国</x:v>
      </x:c>
      <x:c r="D13" s="60" t="str">
        <x:v>旅行及体验</x:v>
      </x:c>
      <x:c r="E13" s="60" t="str">
        <x:v>目的地及奢华旅行</x:v>
      </x:c>
      <x:c r="F13" s="60" t="str">
        <x:v>线路及定制</x:v>
      </x:c>
      <x:c r="G13" s="60" t="str">
        <x:v>高品质出游客户</x:v>
      </x:c>
      <x:c r="H13" s="60" t="str">
        <x:v>动态报价未取得</x:v>
      </x:c>
      <x:c r="I13" s="60" t="str">
        <x:v>携程品牌页面</x:v>
      </x:c>
      <x:c r="J13" s="60" t="str">
        <x:v>平台与供应链</x:v>
      </x:c>
      <x:c r="K13" s="60" t="str">
        <x:v>未公开核实</x:v>
      </x:c>
      <x:c r="L13" s="60" t="str">
        <x:v>未公开核实</x:v>
      </x:c>
      <x:c r="M13" s="60" t="str">
        <x:v>获客平台优势不可按小公司同等假定</x:v>
      </x:c>
      <x:c r="N13" s="60" t="str">
        <x:v>S57</x:v>
      </x:c>
    </x:row>
    <x:row r="14" ht="28" customHeight="1">
      <x:c r="A14" s="60" t="str">
        <x:v>O26</x:v>
      </x:c>
      <x:c r="B14" s="60" t="str">
        <x:v>碧山旅行 WildChina</x:v>
      </x:c>
      <x:c r="C14" s="60" t="str">
        <x:v>全国目的地</x:v>
      </x:c>
      <x:c r="D14" s="60" t="str">
        <x:v>旅行及体验</x:v>
      </x:c>
      <x:c r="E14" s="60" t="str">
        <x:v>定制深度文化旅行</x:v>
      </x:c>
      <x:c r="F14" s="60" t="str">
        <x:v>定制 小团</x:v>
      </x:c>
      <x:c r="G14" s="60" t="str">
        <x:v>深度文化旅行人群</x:v>
      </x:c>
      <x:c r="H14" s="60" t="str">
        <x:v>以路线及主题报价 未取得现价</x:v>
      </x:c>
      <x:c r="I14" s="60" t="str">
        <x:v>旅行故事与咨询</x:v>
      </x:c>
      <x:c r="J14" s="60" t="str">
        <x:v>旅行设计及当地资源</x:v>
      </x:c>
      <x:c r="K14" s="60" t="str">
        <x:v>未公开核实</x:v>
      </x:c>
      <x:c r="L14" s="60" t="str">
        <x:v>未公开核实</x:v>
      </x:c>
      <x:c r="M14" s="60" t="str">
        <x:v>内容与专家能提高体验深度；社交结果待验</x:v>
      </x:c>
      <x:c r="N14" s="60" t="str">
        <x:v>S58</x:v>
      </x:c>
    </x:row>
    <x:row r="15" ht="28" customHeight="1">
      <x:c r="A15" s="60" t="str">
        <x:v>O28</x:v>
      </x:c>
      <x:c r="B15" s="60" t="str">
        <x:v>赞那度</x:v>
      </x:c>
      <x:c r="C15" s="60" t="str">
        <x:v>全国</x:v>
      </x:c>
      <x:c r="D15" s="60" t="str">
        <x:v>旅行及体验</x:v>
      </x:c>
      <x:c r="E15" s="60" t="str">
        <x:v>高端旅游与内容</x:v>
      </x:c>
      <x:c r="F15" s="60" t="str">
        <x:v>旅游产品与顾问</x:v>
      </x:c>
      <x:c r="G15" s="60" t="str">
        <x:v>品质旅行客户</x:v>
      </x:c>
      <x:c r="H15" s="60" t="str">
        <x:v>现行费用未核</x:v>
      </x:c>
      <x:c r="I15" s="60" t="str">
        <x:v>内容到旅行咨询</x:v>
      </x:c>
      <x:c r="J15" s="60" t="str">
        <x:v>旅行专家及供应链</x:v>
      </x:c>
      <x:c r="K15" s="60" t="str">
        <x:v>未公开核实</x:v>
      </x:c>
      <x:c r="L15" s="60" t="str">
        <x:v>未公开核实</x:v>
      </x:c>
      <x:c r="M15" s="60" t="str">
        <x:v>内容媒体与交易结合；无法推断营收结构</x:v>
      </x:c>
      <x:c r="N15" s="60" t="str">
        <x:v>S60</x:v>
      </x:c>
    </x:row>
    <x:row r="16" ht="28" customHeight="1">
      <x:c r="A16" s="60" t="str">
        <x:v>O35</x:v>
      </x:c>
      <x:c r="B16" s="60" t="str">
        <x:v>我主良缘</x:v>
      </x:c>
      <x:c r="C16" s="60" t="str">
        <x:v>北京 上海 深圳等自述</x:v>
      </x:c>
      <x:c r="D16" s="60" t="str">
        <x:v>婚恋与关系服务</x:v>
      </x:c>
      <x:c r="E16" s="60" t="str">
        <x:v>牵线 红娘 情感及形象</x:v>
      </x:c>
      <x:c r="F16" s="60" t="str">
        <x:v>顾问服务 套餐现价未知</x:v>
      </x:c>
      <x:c r="G16" s="60" t="str">
        <x:v>以结婚为目的单身客户</x:v>
      </x:c>
      <x:c r="H16" s="60" t="str">
        <x:v>服务次数期限须看合同</x:v>
      </x:c>
      <x:c r="I16" s="60" t="str">
        <x:v>官网 APP 顾问咨询</x:v>
      </x:c>
      <x:c r="J16" s="60" t="str">
        <x:v>门店红娘团队</x:v>
      </x:c>
      <x:c r="K16" s="60" t="str">
        <x:v>未公开核实</x:v>
      </x:c>
      <x:c r="L16" s="60" t="str">
        <x:v>未公开核实</x:v>
      </x:c>
      <x:c r="M16" s="60" t="str">
        <x:v>高端婚恋有目标约束，与已婚社交需分产品</x:v>
      </x:c>
      <x:c r="N16" s="60" t="str">
        <x:v>S67</x:v>
      </x:c>
    </x:row>
    <x:row r="17" ht="28" customHeight="1">
      <x:c r="A17" s="60" t="str">
        <x:v>O36</x:v>
      </x:c>
      <x:c r="B17" s="60" t="str">
        <x:v>珍爱网</x:v>
      </x:c>
      <x:c r="C17" s="60" t="str">
        <x:v>全国</x:v>
      </x:c>
      <x:c r="D17" s="60" t="str">
        <x:v>婚恋与关系服务</x:v>
      </x:c>
      <x:c r="E17" s="60" t="str">
        <x:v>线上婚恋与红娘</x:v>
      </x:c>
      <x:c r="F17" s="60" t="str">
        <x:v>增值及服务套餐</x:v>
      </x:c>
      <x:c r="G17" s="60" t="str">
        <x:v>严肃婚恋单身客户</x:v>
      </x:c>
      <x:c r="H17" s="60" t="str">
        <x:v>现价及自动续费以具体合同</x:v>
      </x:c>
      <x:c r="I17" s="60" t="str">
        <x:v>网站注册及服务咨询</x:v>
      </x:c>
      <x:c r="J17" s="60" t="str">
        <x:v>平台与红娘</x:v>
      </x:c>
      <x:c r="K17" s="60" t="str">
        <x:v>未公开核实</x:v>
      </x:c>
      <x:c r="L17" s="60" t="str">
        <x:v>未公开核实</x:v>
      </x:c>
      <x:c r="M17" s="60" t="str">
        <x:v>消保报告提供行业风险，不能套用当前成交数据</x:v>
      </x:c>
      <x:c r="N17" s="60" t="str">
        <x:v>S68</x:v>
      </x:c>
    </x:row>
    <x:row r="18" ht="28" customHeight="1">
      <x:c r="A18" s="60" t="str">
        <x:v>O38</x:v>
      </x:c>
      <x:c r="B18" s="60" t="str">
        <x:v>MarryU</x:v>
      </x:c>
      <x:c r="C18" s="60" t="str">
        <x:v>历史布局含京沪深</x:v>
      </x:c>
      <x:c r="D18" s="60" t="str">
        <x:v>婚恋与关系服务</x:v>
      </x:c>
      <x:c r="E18" s="60" t="str">
        <x:v>普通牵线 VIP 定制 主题局</x:v>
      </x:c>
      <x:c r="F18" s="60" t="str">
        <x:v>分级服务</x:v>
      </x:c>
      <x:c r="G18" s="60" t="str">
        <x:v>有明确结婚计划的单身者</x:v>
      </x:c>
      <x:c r="H18" s="60" t="str">
        <x:v>现价期限未知</x:v>
      </x:c>
      <x:c r="I18" s="60" t="str">
        <x:v>官网 微信 微博</x:v>
      </x:c>
      <x:c r="J18" s="60" t="str">
        <x:v>俱乐部顾问</x:v>
      </x:c>
      <x:c r="K18" s="60" t="str">
        <x:v>未公开核实</x:v>
      </x:c>
      <x:c r="L18" s="60" t="str">
        <x:v>未公开核实</x:v>
      </x:c>
      <x:c r="M18" s="60" t="str">
        <x:v>旧门店与累计用户数不能当近期活跃</x:v>
      </x:c>
      <x:c r="N18" s="60" t="str">
        <x:v>S70</x:v>
      </x:c>
    </x:row>
    <x:row r="19" ht="28" customHeight="1">
      <x:c r="A19" s="60" t="str">
        <x:v>O14</x:v>
      </x:c>
      <x:c r="B19" s="60" t="str">
        <x:v>中欧国际工商学院</x:v>
      </x:c>
      <x:c r="C19" s="60" t="str">
        <x:v>北京 上海 深圳</x:v>
      </x:c>
      <x:c r="D19" s="60" t="str">
        <x:v>商学与游学</x:v>
      </x:c>
      <x:c r="E19" s="60" t="str">
        <x:v>EMBA 高管学习 校友活动</x:v>
      </x:c>
      <x:c r="F19" s="60" t="str">
        <x:v>按项目学费</x:v>
      </x:c>
      <x:c r="G19" s="60" t="str">
        <x:v>有管理经验的经营者</x:v>
      </x:c>
      <x:c r="H19" s="60" t="str">
        <x:v>2026级学费及部分食宿包含</x:v>
      </x:c>
      <x:c r="I19" s="60" t="str">
        <x:v>招生官网 申请与面试</x:v>
      </x:c>
      <x:c r="J19" s="60" t="str">
        <x:v>学院及校友组织</x:v>
      </x:c>
      <x:c r="K19" s="60" t="str">
        <x:v>未公开核实</x:v>
      </x:c>
      <x:c r="L19" s="60" t="str">
        <x:v>未公开核实</x:v>
      </x:c>
      <x:c r="M19" s="60" t="str">
        <x:v>学位背书和校友积累不宜直接复制</x:v>
      </x:c>
      <x:c r="N19" s="60" t="str">
        <x:v>S42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dd5ec6d80f84850"/>
  </x:tableParts>
</x:worksheet>
</file>

<file path=xl/worksheets/sheet4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16" hidden="0" customWidth="1"/>
    <x:col min="5" max="5" width="11" hidden="0" customWidth="1"/>
    <x:col min="6" max="6" width="17" hidden="0" customWidth="1"/>
    <x:col min="7" max="7" width="25" hidden="0" customWidth="1"/>
    <x:col min="8" max="8" width="50" hidden="0" customWidth="1"/>
    <x:col min="9" max="9" width="45" hidden="0" customWidth="1"/>
    <x:col min="10" max="10" width="50" hidden="0" customWidth="1"/>
    <x:col min="11" max="11" width="43" hidden="0" customWidth="1"/>
    <x:col min="12" max="12" width="37" hidden="0" customWidth="1"/>
    <x:col min="13" max="13" width="19" hidden="0" customWidth="1"/>
    <x:col min="14" max="14" width="16" hidden="0" customWidth="1"/>
  </x:cols>
  <x:sheetData>
    <x:row r="1" ht="30" customHeight="1">
      <x:c r="A1" s="53" t="str">
        <x:v>价格权益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32" customHeight="1">
      <x:c r="A2" s="54" t="str">
        <x:v>采集截止 2026-10-21　|　价格单位和权益必须一起读；未知金额为空；异常不纳入价格锚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 ht="30" customHeight="1">
      <x:c r="A4" s="59" t="str">
        <x:v>机构</x:v>
      </x:c>
      <x:c r="B4" s="59" t="str">
        <x:v>城市或目的地</x:v>
      </x:c>
      <x:c r="C4" s="59" t="str">
        <x:v>产品或等级</x:v>
      </x:c>
      <x:c r="D4" s="59" t="str">
        <x:v>金额</x:v>
      </x:c>
      <x:c r="E4" s="59" t="str">
        <x:v>币种</x:v>
      </x:c>
      <x:c r="F4" s="59" t="str">
        <x:v>收费单位</x:v>
      </x:c>
      <x:c r="G4" s="59" t="str">
        <x:v>报价或有效期</x:v>
      </x:c>
      <x:c r="H4" s="59" t="str">
        <x:v>包含权益</x:v>
      </x:c>
      <x:c r="I4" s="59" t="str">
        <x:v>不包含或未核</x:v>
      </x:c>
      <x:c r="J4" s="59" t="str">
        <x:v>额外条件及费用</x:v>
      </x:c>
      <x:c r="K4" s="59" t="str">
        <x:v>退改</x:v>
      </x:c>
      <x:c r="L4" s="59" t="str">
        <x:v>证据类别</x:v>
      </x:c>
      <x:c r="M4" s="59" t="str">
        <x:v>源ID</x:v>
      </x:c>
      <x:c r="N4" s="59" t="str">
        <x:v>采集日</x:v>
      </x:c>
    </x:row>
    <x:row r="5" ht="28" customHeight="1">
      <x:c r="A5" s="60" t="str">
        <x:v>伟事达中国</x:v>
      </x:c>
      <x:c r="B5" s="60" t="str">
        <x:v>全国</x:v>
      </x:c>
      <x:c r="C5" s="60" t="str">
        <x:v>CE标准组</x:v>
      </x:c>
      <x:c r="D5" s="83" t="n">
        <x:v>148000</x:v>
      </x:c>
      <x:c r="E5" s="60" t="str">
        <x:v>CNY</x:v>
      </x:c>
      <x:c r="F5" s="60" t="str">
        <x:v>人/年</x:v>
      </x:c>
      <x:c r="G5" s="60" t="str">
        <x:v>2026页面</x:v>
      </x:c>
      <x:c r="H5" s="60" t="str">
        <x:v>10—12天小组会；10—12小时教练；5—6次专家</x:v>
      </x:c>
      <x:c r="I5" s="60" t="str">
        <x:v>差旅食宿待核</x:v>
      </x:c>
      <x:c r="J5" s="60" t="str">
        <x:v>首次注册3000元</x:v>
      </x:c>
      <x:c r="K5" s="60" t="str">
        <x:v>未公开核实</x:v>
      </x:c>
      <x:c r="L5" s="60" t="str">
        <x:v>官方品牌页索引标价 待合同核实</x:v>
      </x:c>
      <x:c r="M5" s="60" t="str">
        <x:v>S28</x:v>
      </x:c>
      <x:c r="N5" s="60" t="str">
        <x:v>2026-10-21</x:v>
      </x:c>
    </x:row>
    <x:row r="6" ht="28" customHeight="1">
      <x:c r="A6" s="60" t="str">
        <x:v>伟事达中国</x:v>
      </x:c>
      <x:c r="B6" s="60" t="str">
        <x:v>本地组 城市待核</x:v>
      </x:c>
      <x:c r="C6" s="60" t="str">
        <x:v>SE组</x:v>
      </x:c>
      <x:c r="D6" s="83" t="n">
        <x:v>96000</x:v>
      </x:c>
      <x:c r="E6" s="60" t="str">
        <x:v>CNY</x:v>
      </x:c>
      <x:c r="F6" s="60" t="str">
        <x:v>人/年</x:v>
      </x:c>
      <x:c r="G6" s="60" t="str">
        <x:v>2026页面</x:v>
      </x:c>
      <x:c r="H6" s="60" t="str">
        <x:v>9天小组会；9小时教练；4次专家</x:v>
      </x:c>
      <x:c r="I6" s="60" t="str">
        <x:v>差旅食宿待核</x:v>
      </x:c>
      <x:c r="J6" s="60" t="str">
        <x:v>首次注册3000元</x:v>
      </x:c>
      <x:c r="K6" s="60" t="str">
        <x:v>未公开核实</x:v>
      </x:c>
      <x:c r="L6" s="60" t="str">
        <x:v>官方品牌页索引标价 待合同核实</x:v>
      </x:c>
      <x:c r="M6" s="60" t="str">
        <x:v>S28</x:v>
      </x:c>
      <x:c r="N6" s="60" t="str">
        <x:v>2026-10-21</x:v>
      </x:c>
    </x:row>
    <x:row r="7" ht="28" customHeight="1">
      <x:c r="A7" s="60" t="str">
        <x:v>伟事达中国</x:v>
      </x:c>
      <x:c r="B7" s="60" t="str">
        <x:v>全国</x:v>
      </x:c>
      <x:c r="C7" s="60" t="str">
        <x:v>KE高管组</x:v>
      </x:c>
      <x:c r="D7" s="83" t="n">
        <x:v>78000</x:v>
      </x:c>
      <x:c r="E7" s="60" t="str">
        <x:v>CNY</x:v>
      </x:c>
      <x:c r="F7" s="60" t="str">
        <x:v>人/年</x:v>
      </x:c>
      <x:c r="G7" s="60" t="str">
        <x:v>2026页面</x:v>
      </x:c>
      <x:c r="H7" s="60" t="str">
        <x:v>12天小组会；6次专家</x:v>
      </x:c>
      <x:c r="I7" s="60" t="str">
        <x:v>私人辅导需另购</x:v>
      </x:c>
      <x:c r="J7" s="60" t="str">
        <x:v>仅会员企业高管获推荐</x:v>
      </x:c>
      <x:c r="K7" s="60" t="str">
        <x:v>未公开核实</x:v>
      </x:c>
      <x:c r="L7" s="60" t="str">
        <x:v>官方品牌页索引标价 待合同核实</x:v>
      </x:c>
      <x:c r="M7" s="60" t="str">
        <x:v>S28</x:v>
      </x:c>
      <x:c r="N7" s="60" t="str">
        <x:v>2026-10-21</x:v>
      </x:c>
    </x:row>
    <x:row r="8" ht="28" customHeight="1">
      <x:c r="A8" s="60" t="str">
        <x:v>伟事达中国</x:v>
      </x:c>
      <x:c r="B8" s="60" t="str">
        <x:v>全国</x:v>
      </x:c>
      <x:c r="C8" s="60" t="str">
        <x:v>CE Plus</x:v>
      </x:c>
      <x:c r="D8" s="83" t="n">
        <x:v>158000</x:v>
      </x:c>
      <x:c r="E8" s="60" t="str">
        <x:v>CNY</x:v>
      </x:c>
      <x:c r="F8" s="60" t="str">
        <x:v>人/年 起</x:v>
      </x:c>
      <x:c r="G8" s="60" t="str">
        <x:v>2026页面</x:v>
      </x:c>
      <x:c r="H8" s="60" t="str">
        <x:v>升级服务待核</x:v>
      </x:c>
      <x:c r="I8" s="60" t="str">
        <x:v>未公开核实</x:v>
      </x:c>
      <x:c r="J8" s="60" t="str">
        <x:v>起价 不能等同标准档</x:v>
      </x:c>
      <x:c r="K8" s="60" t="str">
        <x:v>未公开核实</x:v>
      </x:c>
      <x:c r="L8" s="60" t="str">
        <x:v>官方品牌页索引标价 待合同核实</x:v>
      </x:c>
      <x:c r="M8" s="60" t="str">
        <x:v>S28</x:v>
      </x:c>
      <x:c r="N8" s="60" t="str">
        <x:v>2026-10-21</x:v>
      </x:c>
    </x:row>
    <x:row r="9" ht="28" customHeight="1">
      <x:c r="A9" s="60" t="str">
        <x:v>EO China East</x:v>
      </x:c>
      <x:c r="B9" s="60" t="str">
        <x:v>华东</x:v>
      </x:c>
      <x:c r="C9" s="60" t="str">
        <x:v>全球年费</x:v>
      </x:c>
      <x:c r="D9" s="83" t="n">
        <x:v>2630</x:v>
      </x:c>
      <x:c r="E9" s="60" t="str">
        <x:v>USD</x:v>
      </x:c>
      <x:c r="F9" s="60" t="str">
        <x:v>人/年</x:v>
      </x:c>
      <x:c r="G9" s="60" t="str">
        <x:v>2026-09-30分会页</x:v>
      </x:c>
      <x:c r="H9" s="60" t="str">
        <x:v>全球组织会员权益</x:v>
      </x:c>
      <x:c r="I9" s="60" t="str">
        <x:v>地方、活动及差旅费待核</x:v>
      </x:c>
      <x:c r="J9" s="60" t="str">
        <x:v>新会员全球入会3500美元；按月折算规则</x:v>
      </x:c>
      <x:c r="K9" s="60" t="str">
        <x:v>未公开核实</x:v>
      </x:c>
      <x:c r="L9" s="60" t="str">
        <x:v>机构公开标价</x:v>
      </x:c>
      <x:c r="M9" s="60" t="str">
        <x:v>S38</x:v>
      </x:c>
      <x:c r="N9" s="60" t="str">
        <x:v>2026-10-21</x:v>
      </x:c>
    </x:row>
    <x:row r="10" ht="28" customHeight="1">
      <x:c r="A10" s="60" t="str">
        <x:v>EO China East</x:v>
      </x:c>
      <x:c r="B10" s="60" t="str">
        <x:v>华东</x:v>
      </x:c>
      <x:c r="C10" s="60" t="str">
        <x:v>全球首次入会费</x:v>
      </x:c>
      <x:c r="D10" s="83" t="n">
        <x:v>3500</x:v>
      </x:c>
      <x:c r="E10" s="60" t="str">
        <x:v>USD</x:v>
      </x:c>
      <x:c r="F10" s="60" t="str">
        <x:v>人/首次</x:v>
      </x:c>
      <x:c r="G10" s="60" t="str">
        <x:v>2026-09-30分会页</x:v>
      </x:c>
      <x:c r="H10" s="60" t="str">
        <x:v>初次全球会员注册</x:v>
      </x:c>
      <x:c r="I10" s="60" t="str">
        <x:v>年费与地方费用另计</x:v>
      </x:c>
      <x:c r="J10" s="60" t="str">
        <x:v>地方年费字段0 不作为免费证据</x:v>
      </x:c>
      <x:c r="K10" s="60" t="str">
        <x:v>未公开核实</x:v>
      </x:c>
      <x:c r="L10" s="60" t="str">
        <x:v>机构公开标价</x:v>
      </x:c>
      <x:c r="M10" s="60" t="str">
        <x:v>S38</x:v>
      </x:c>
      <x:c r="N10" s="60" t="str">
        <x:v>2026-10-21</x:v>
      </x:c>
    </x:row>
    <x:row r="11" ht="28" customHeight="1">
      <x:c r="A11" s="60" t="str">
        <x:v>深圳侨商会</x:v>
      </x:c>
      <x:c r="B11" s="60" t="str">
        <x:v>深圳</x:v>
      </x:c>
      <x:c r="C11" s="60" t="str">
        <x:v>普通会员</x:v>
      </x:c>
      <x:c r="D11" s="83" t="n">
        <x:v>3000</x:v>
      </x:c>
      <x:c r="E11" s="60" t="str">
        <x:v>CNY</x:v>
      </x:c>
      <x:c r="F11" s="60" t="str">
        <x:v>年</x:v>
      </x:c>
      <x:c r="G11" s="60" t="str">
        <x:v>生效日期未标</x:v>
      </x:c>
      <x:c r="H11" s="60" t="str">
        <x:v>商会会员资格</x:v>
      </x:c>
      <x:c r="I11" s="60" t="str">
        <x:v>单项活动待核</x:v>
      </x:c>
      <x:c r="J11" s="60" t="str">
        <x:v>身份条件限制</x:v>
      </x:c>
      <x:c r="K11" s="60" t="str">
        <x:v>未公开核实</x:v>
      </x:c>
      <x:c r="L11" s="60" t="str">
        <x:v>机构公开标价</x:v>
      </x:c>
      <x:c r="M11" s="60" t="str">
        <x:v>S40</x:v>
      </x:c>
      <x:c r="N11" s="60" t="str">
        <x:v>2026-10-21</x:v>
      </x:c>
    </x:row>
    <x:row r="12" ht="28" customHeight="1">
      <x:c r="A12" s="60" t="str">
        <x:v>深圳侨商会</x:v>
      </x:c>
      <x:c r="B12" s="60" t="str">
        <x:v>深圳</x:v>
      </x:c>
      <x:c r="C12" s="60" t="str">
        <x:v>理事或监事</x:v>
      </x:c>
      <x:c r="D12" s="83" t="n">
        <x:v>10000</x:v>
      </x:c>
      <x:c r="E12" s="60" t="str">
        <x:v>CNY</x:v>
      </x:c>
      <x:c r="F12" s="60" t="str">
        <x:v>年</x:v>
      </x:c>
      <x:c r="G12" s="60" t="str">
        <x:v>生效日期未标</x:v>
      </x:c>
      <x:c r="H12" s="60" t="str">
        <x:v>组织职务等级</x:v>
      </x:c>
      <x:c r="I12" s="60" t="str">
        <x:v>不能视为额外社交权益套餐</x:v>
      </x:c>
      <x:c r="J12" s="60" t="str">
        <x:v>获任条件待核</x:v>
      </x:c>
      <x:c r="K12" s="60" t="str">
        <x:v>未公开核实</x:v>
      </x:c>
      <x:c r="L12" s="60" t="str">
        <x:v>机构公开标价</x:v>
      </x:c>
      <x:c r="M12" s="60" t="str">
        <x:v>S40</x:v>
      </x:c>
      <x:c r="N12" s="60" t="str">
        <x:v>2026-10-21</x:v>
      </x:c>
    </x:row>
    <x:row r="13" ht="28" customHeight="1">
      <x:c r="A13" s="60" t="str">
        <x:v>深圳侨商会</x:v>
      </x:c>
      <x:c r="B13" s="60" t="str">
        <x:v>深圳</x:v>
      </x:c>
      <x:c r="C13" s="60" t="str">
        <x:v>副会长或监事长</x:v>
      </x:c>
      <x:c r="D13" s="83" t="n">
        <x:v>30000</x:v>
      </x:c>
      <x:c r="E13" s="60" t="str">
        <x:v>CNY</x:v>
      </x:c>
      <x:c r="F13" s="60" t="str">
        <x:v>年</x:v>
      </x:c>
      <x:c r="G13" s="60" t="str">
        <x:v>生效日期未标</x:v>
      </x:c>
      <x:c r="H13" s="60" t="str">
        <x:v>组织职务等级</x:v>
      </x:c>
      <x:c r="I13" s="60" t="str">
        <x:v>单项权益待核</x:v>
      </x:c>
      <x:c r="J13" s="60" t="str">
        <x:v>获任条件待核</x:v>
      </x:c>
      <x:c r="K13" s="60" t="str">
        <x:v>未公开核实</x:v>
      </x:c>
      <x:c r="L13" s="60" t="str">
        <x:v>机构公开标价</x:v>
      </x:c>
      <x:c r="M13" s="60" t="str">
        <x:v>S40</x:v>
      </x:c>
      <x:c r="N13" s="60" t="str">
        <x:v>2026-10-21</x:v>
      </x:c>
    </x:row>
    <x:row r="14" ht="28" customHeight="1">
      <x:c r="A14" s="60" t="str">
        <x:v>深圳侨商会</x:v>
      </x:c>
      <x:c r="B14" s="60" t="str">
        <x:v>深圳</x:v>
      </x:c>
      <x:c r="C14" s="60" t="str">
        <x:v>常务副会长</x:v>
      </x:c>
      <x:c r="D14" s="83" t="n">
        <x:v>50000</x:v>
      </x:c>
      <x:c r="E14" s="60" t="str">
        <x:v>CNY</x:v>
      </x:c>
      <x:c r="F14" s="60" t="str">
        <x:v>年</x:v>
      </x:c>
      <x:c r="G14" s="60" t="str">
        <x:v>生效日期未标</x:v>
      </x:c>
      <x:c r="H14" s="60" t="str">
        <x:v>组织职务等级</x:v>
      </x:c>
      <x:c r="I14" s="60" t="str">
        <x:v>单项权益待核</x:v>
      </x:c>
      <x:c r="J14" s="60" t="str">
        <x:v>获任条件待核</x:v>
      </x:c>
      <x:c r="K14" s="60" t="str">
        <x:v>未公开核实</x:v>
      </x:c>
      <x:c r="L14" s="60" t="str">
        <x:v>机构公开标价</x:v>
      </x:c>
      <x:c r="M14" s="60" t="str">
        <x:v>S40</x:v>
      </x:c>
      <x:c r="N14" s="60" t="str">
        <x:v>2026-10-21</x:v>
      </x:c>
    </x:row>
    <x:row r="15" ht="28" customHeight="1">
      <x:c r="A15" s="60" t="str">
        <x:v>上海美国商会</x:v>
      </x:c>
      <x:c r="B15" s="60" t="str">
        <x:v>上海</x:v>
      </x:c>
      <x:c r="C15" s="60" t="str">
        <x:v>青少年两天项目 会员子女</x:v>
      </x:c>
      <x:c r="D15" s="83" t="n">
        <x:v>3500</x:v>
      </x:c>
      <x:c r="E15" s="60" t="str">
        <x:v>CNY</x:v>
      </x:c>
      <x:c r="F15" s="60" t="str">
        <x:v>人/次</x:v>
      </x:c>
      <x:c r="G15" s="60" t="str">
        <x:v>2026-07-09至10</x:v>
      </x:c>
      <x:c r="H15" s="60" t="str">
        <x:v>两日跨国企业学习项目</x:v>
      </x:c>
      <x:c r="I15" s="60" t="str">
        <x:v>完整餐食交通待核</x:v>
      </x:c>
      <x:c r="J15" s="60" t="str">
        <x:v>10—12年级；报名审核</x:v>
      </x:c>
      <x:c r="K15" s="60" t="str">
        <x:v>7月3日12时前通知取消 退款额细则待核</x:v>
      </x:c>
      <x:c r="L15" s="60" t="str">
        <x:v>机构公开标价</x:v>
      </x:c>
      <x:c r="M15" s="60" t="str">
        <x:v>S41</x:v>
      </x:c>
      <x:c r="N15" s="60" t="str">
        <x:v>2026-10-21</x:v>
      </x:c>
    </x:row>
    <x:row r="16" ht="28" customHeight="1">
      <x:c r="A16" s="60" t="str">
        <x:v>上海美国商会</x:v>
      </x:c>
      <x:c r="B16" s="60" t="str">
        <x:v>上海</x:v>
      </x:c>
      <x:c r="C16" s="60" t="str">
        <x:v>青少年两天项目 非会员</x:v>
      </x:c>
      <x:c r="D16" s="83" t="n">
        <x:v>6000</x:v>
      </x:c>
      <x:c r="E16" s="60" t="str">
        <x:v>CNY</x:v>
      </x:c>
      <x:c r="F16" s="60" t="str">
        <x:v>人/次</x:v>
      </x:c>
      <x:c r="G16" s="60" t="str">
        <x:v>2026-07-09至10</x:v>
      </x:c>
      <x:c r="H16" s="60" t="str">
        <x:v>同项目非会员票</x:v>
      </x:c>
      <x:c r="I16" s="60" t="str">
        <x:v>完整餐食交通待核</x:v>
      </x:c>
      <x:c r="J16" s="60" t="str">
        <x:v>不是成人社交活动</x:v>
      </x:c>
      <x:c r="K16" s="60" t="str">
        <x:v>同项目取消规则</x:v>
      </x:c>
      <x:c r="L16" s="60" t="str">
        <x:v>机构公开标价</x:v>
      </x:c>
      <x:c r="M16" s="60" t="str">
        <x:v>S41</x:v>
      </x:c>
      <x:c r="N16" s="60" t="str">
        <x:v>2026-10-21</x:v>
      </x:c>
    </x:row>
    <x:row r="17" ht="28" customHeight="1">
      <x:c r="A17" s="60" t="str">
        <x:v>中国美国商会</x:v>
      </x:c>
      <x:c r="B17" s="60" t="str">
        <x:v>成都</x:v>
      </x:c>
      <x:c r="C17" s="60" t="str">
        <x:v>四川交流活动 会员</x:v>
      </x:c>
      <x:c r="D17" s="83" t="n">
        <x:v>2500</x:v>
      </x:c>
      <x:c r="E17" s="60" t="str">
        <x:v>CNY</x:v>
      </x:c>
      <x:c r="F17" s="60" t="str">
        <x:v>人/次</x:v>
      </x:c>
      <x:c r="G17" s="60" t="str">
        <x:v>2026-06-25至26</x:v>
      </x:c>
      <x:c r="H17" s="60" t="str">
        <x:v>议程项目 除需审批的政府拜会</x:v>
      </x:c>
      <x:c r="I17" s="60" t="str">
        <x:v>住宿差旅另计</x:v>
      </x:c>
      <x:c r="J17" s="60" t="str">
        <x:v>含一晚住宿3500元</x:v>
      </x:c>
      <x:c r="K17" s="60" t="str">
        <x:v>未公开核实</x:v>
      </x:c>
      <x:c r="L17" s="60" t="str">
        <x:v>机构公开标价</x:v>
      </x:c>
      <x:c r="M17" s="60" t="str">
        <x:v>S74</x:v>
      </x:c>
      <x:c r="N17" s="60" t="str">
        <x:v>2026-10-21</x:v>
      </x:c>
    </x:row>
    <x:row r="18" ht="28" customHeight="1">
      <x:c r="A18" s="60" t="str">
        <x:v>中国美国商会</x:v>
      </x:c>
      <x:c r="B18" s="60" t="str">
        <x:v>成都</x:v>
      </x:c>
      <x:c r="C18" s="60" t="str">
        <x:v>四川交流活动 非会员</x:v>
      </x:c>
      <x:c r="D18" s="83" t="n">
        <x:v>5000</x:v>
      </x:c>
      <x:c r="E18" s="60" t="str">
        <x:v>CNY</x:v>
      </x:c>
      <x:c r="F18" s="60" t="str">
        <x:v>人/次</x:v>
      </x:c>
      <x:c r="G18" s="60" t="str">
        <x:v>2026-06-25至26</x:v>
      </x:c>
      <x:c r="H18" s="60" t="str">
        <x:v>同项目活动</x:v>
      </x:c>
      <x:c r="I18" s="60" t="str">
        <x:v>住宿差旅另计</x:v>
      </x:c>
      <x:c r="J18" s="60" t="str">
        <x:v>含一晚住宿6000元</x:v>
      </x:c>
      <x:c r="K18" s="60" t="str">
        <x:v>未公开核实</x:v>
      </x:c>
      <x:c r="L18" s="60" t="str">
        <x:v>机构公开标价</x:v>
      </x:c>
      <x:c r="M18" s="60" t="str">
        <x:v>S74</x:v>
      </x:c>
      <x:c r="N18" s="60" t="str">
        <x:v>2026-10-21</x:v>
      </x:c>
    </x:row>
    <x:row r="19" ht="28" customHeight="1">
      <x:c r="A19" s="60" t="str">
        <x:v>耀悦</x:v>
      </x:c>
      <x:c r="B19" s="60" t="str">
        <x:v>全国招募 出发地待核</x:v>
      </x:c>
      <x:c r="C19" s="60" t="str">
        <x:v>潮汕山海食神记</x:v>
      </x:c>
      <x:c r="D19" s="83" t="n">
        <x:v>7000</x:v>
      </x:c>
      <x:c r="E19" s="60" t="str">
        <x:v>CNY</x:v>
      </x:c>
      <x:c r="F19" s="60" t="str">
        <x:v>人/次 起</x:v>
      </x:c>
      <x:c r="G19" s="60" t="str">
        <x:v>团期未标</x:v>
      </x:c>
      <x:c r="H19" s="60" t="str">
        <x:v>5晚6天；私享游；完整清单待核</x:v>
      </x:c>
      <x:c r="I19" s="60" t="str">
        <x:v>国际机票、单房差、签证等未核实</x:v>
      </x:c>
      <x:c r="J19" s="60" t="str">
        <x:v>不是最终成交总价</x:v>
      </x:c>
      <x:c r="K19" s="60" t="str">
        <x:v>未公开核实</x:v>
      </x:c>
      <x:c r="L19" s="60" t="str">
        <x:v>官方站搜索索引起价 当前可订待核</x:v>
      </x:c>
      <x:c r="M19" s="60" t="str">
        <x:v>S33</x:v>
      </x:c>
      <x:c r="N19" s="60" t="str">
        <x:v>2026-10-21</x:v>
      </x:c>
    </x:row>
    <x:row r="20" ht="28" customHeight="1">
      <x:c r="A20" s="60" t="str">
        <x:v>耀悦</x:v>
      </x:c>
      <x:c r="B20" s="60" t="str">
        <x:v>全国招募 出发地待核</x:v>
      </x:c>
      <x:c r="C20" s="60" t="str">
        <x:v>英国历史艺术漫游</x:v>
      </x:c>
      <x:c r="D20" s="83" t="n">
        <x:v>36800</x:v>
      </x:c>
      <x:c r="E20" s="60" t="str">
        <x:v>CNY</x:v>
      </x:c>
      <x:c r="F20" s="60" t="str">
        <x:v>人/次 起</x:v>
      </x:c>
      <x:c r="G20" s="60" t="str">
        <x:v>团期未标</x:v>
      </x:c>
      <x:c r="H20" s="60" t="str">
        <x:v>10晚12天；招募团；完整清单待核</x:v>
      </x:c>
      <x:c r="I20" s="60" t="str">
        <x:v>国际机票、单房差、签证等未核实</x:v>
      </x:c>
      <x:c r="J20" s="60" t="str">
        <x:v>不是最终成交总价</x:v>
      </x:c>
      <x:c r="K20" s="60" t="str">
        <x:v>未公开核实</x:v>
      </x:c>
      <x:c r="L20" s="60" t="str">
        <x:v>官方站搜索索引起价 当前可订待核</x:v>
      </x:c>
      <x:c r="M20" s="60" t="str">
        <x:v>S33</x:v>
      </x:c>
      <x:c r="N20" s="60" t="str">
        <x:v>2026-10-21</x:v>
      </x:c>
    </x:row>
    <x:row r="21" ht="28" customHeight="1">
      <x:c r="A21" s="60" t="str">
        <x:v>耀悦</x:v>
      </x:c>
      <x:c r="B21" s="60" t="str">
        <x:v>全国招募 出发地待核</x:v>
      </x:c>
      <x:c r="C21" s="60" t="str">
        <x:v>南非自然人文探索</x:v>
      </x:c>
      <x:c r="D21" s="83" t="n">
        <x:v>68500</x:v>
      </x:c>
      <x:c r="E21" s="60" t="str">
        <x:v>CNY</x:v>
      </x:c>
      <x:c r="F21" s="60" t="str">
        <x:v>人/次 起</x:v>
      </x:c>
      <x:c r="G21" s="60" t="str">
        <x:v>团期未标</x:v>
      </x:c>
      <x:c r="H21" s="60" t="str">
        <x:v>9晚11天；招募团；完整清单待核</x:v>
      </x:c>
      <x:c r="I21" s="60" t="str">
        <x:v>国际机票、单房差、签证等未核实</x:v>
      </x:c>
      <x:c r="J21" s="60" t="str">
        <x:v>不是最终成交总价</x:v>
      </x:c>
      <x:c r="K21" s="60" t="str">
        <x:v>未公开核实</x:v>
      </x:c>
      <x:c r="L21" s="60" t="str">
        <x:v>官方站搜索索引起价 当前可订待核</x:v>
      </x:c>
      <x:c r="M21" s="60" t="str">
        <x:v>S33</x:v>
      </x:c>
      <x:c r="N21" s="60" t="str">
        <x:v>2026-10-21</x:v>
      </x:c>
    </x:row>
    <x:row r="22" ht="28" customHeight="1">
      <x:c r="A22" s="60" t="str">
        <x:v>耀悦</x:v>
      </x:c>
      <x:c r="B22" s="60" t="str">
        <x:v>全国招募 出发地待核</x:v>
      </x:c>
      <x:c r="C22" s="60" t="str">
        <x:v>九州奢华七星列车</x:v>
      </x:c>
      <x:c r="D22" s="83" t="n">
        <x:v>129800</x:v>
      </x:c>
      <x:c r="E22" s="60" t="str">
        <x:v>CNY</x:v>
      </x:c>
      <x:c r="F22" s="60" t="str">
        <x:v>人/次 起</x:v>
      </x:c>
      <x:c r="G22" s="60" t="str">
        <x:v>团期未标</x:v>
      </x:c>
      <x:c r="H22" s="60" t="str">
        <x:v>3晚4天；私享游；完整清单待核</x:v>
      </x:c>
      <x:c r="I22" s="60" t="str">
        <x:v>国际机票、单房差、签证等未核实</x:v>
      </x:c>
      <x:c r="J22" s="60" t="str">
        <x:v>不是最终成交总价</x:v>
      </x:c>
      <x:c r="K22" s="60" t="str">
        <x:v>未公开核实</x:v>
      </x:c>
      <x:c r="L22" s="60" t="str">
        <x:v>官方站搜索索引起价 当前可订待核</x:v>
      </x:c>
      <x:c r="M22" s="60" t="str">
        <x:v>S33</x:v>
      </x:c>
      <x:c r="N22" s="60" t="str">
        <x:v>2026-10-21</x:v>
      </x:c>
    </x:row>
    <x:row r="23" ht="28" customHeight="1">
      <x:c r="A23" s="60" t="str">
        <x:v>中欧</x:v>
      </x:c>
      <x:c r="B23" s="60" t="str">
        <x:v>京沪深项目</x:v>
      </x:c>
      <x:c r="C23" s="60" t="str">
        <x:v>2026级EMBA</x:v>
      </x:c>
      <x:c r="D23" s="83" t="n">
        <x:v>828000</x:v>
      </x:c>
      <x:c r="E23" s="60" t="str">
        <x:v>CNY</x:v>
      </x:c>
      <x:c r="F23" s="60" t="str">
        <x:v>人/项目</x:v>
      </x:c>
      <x:c r="G23" s="60" t="str">
        <x:v>2026级</x:v>
      </x:c>
      <x:c r="H23" s="60" t="str">
        <x:v>课程讲座讲义午餐；开学毕业住读部分食宿</x:v>
      </x:c>
      <x:c r="I23" s="60" t="str">
        <x:v>其他交通与食宿</x:v>
      </x:c>
      <x:c r="J23" s="60" t="str">
        <x:v>报名1800元</x:v>
      </x:c>
      <x:c r="K23" s="60" t="str">
        <x:v>注册后退出或取消学籍不退；报名费不退</x:v>
      </x:c>
      <x:c r="L23" s="60" t="str">
        <x:v>机构公开标价</x:v>
      </x:c>
      <x:c r="M23" s="60" t="str">
        <x:v>S42</x:v>
      </x:c>
      <x:c r="N23" s="60" t="str">
        <x:v>2026-10-21</x:v>
      </x:c>
    </x:row>
    <x:row r="24" ht="36" customHeight="1">
      <x:c r="A24" s="60" t="str">
        <x:v>长江商学院</x:v>
      </x:c>
      <x:c r="B24" s="60" t="str">
        <x:v>京沪深项目</x:v>
      </x:c>
      <x:c r="C24" s="60" t="str">
        <x:v>2026级EMBA</x:v>
      </x:c>
      <x:c r="D24" s="83" t="n">
        <x:v>998000</x:v>
      </x:c>
      <x:c r="E24" s="60" t="str">
        <x:v>CNY</x:v>
      </x:c>
      <x:c r="F24" s="60" t="str">
        <x:v>人/项目</x:v>
      </x:c>
      <x:c r="G24" s="60" t="str">
        <x:v>2026级</x:v>
      </x:c>
      <x:c r="H24" s="60" t="str">
        <x:v>课程权益以简章为准</x:v>
      </x:c>
      <x:c r="I24" s="60" t="str">
        <x:v>非课程费用待核</x:v>
      </x:c>
      <x:c r="J24" s="60" t="str">
        <x:v>申请2000元</x:v>
      </x:c>
      <x:c r="K24" s="60" t="str">
        <x:v>注册前10工作日及5工作日分档；近期开课不退</x:v>
      </x:c>
      <x:c r="L24" s="60" t="str">
        <x:v>机构公开标价</x:v>
      </x:c>
      <x:c r="M24" s="60" t="str">
        <x:v>S43</x:v>
      </x:c>
      <x:c r="N24" s="60" t="str">
        <x:v>2026-10-21</x:v>
      </x:c>
    </x:row>
    <x:row r="25" ht="28" customHeight="1">
      <x:c r="A25" s="60" t="str">
        <x:v>交大高金</x:v>
      </x:c>
      <x:c r="B25" s="60" t="str">
        <x:v>上海</x:v>
      </x:c>
      <x:c r="C25" s="60" t="str">
        <x:v>2026级金融EMBA</x:v>
      </x:c>
      <x:c r="D25" s="83" t="n">
        <x:v>828000</x:v>
      </x:c>
      <x:c r="E25" s="60" t="str">
        <x:v>CNY</x:v>
      </x:c>
      <x:c r="F25" s="60" t="str">
        <x:v>人/项目</x:v>
      </x:c>
      <x:c r="G25" s="60" t="str">
        <x:v>2026级</x:v>
      </x:c>
      <x:c r="H25" s="60" t="str">
        <x:v>以简章为准</x:v>
      </x:c>
      <x:c r="I25" s="60" t="str">
        <x:v>额外食宿差旅待核</x:v>
      </x:c>
      <x:c r="J25" s="60" t="str">
        <x:v>未公开核实</x:v>
      </x:c>
      <x:c r="K25" s="60" t="str">
        <x:v>未公开核实</x:v>
      </x:c>
      <x:c r="L25" s="60" t="str">
        <x:v>机构公开标价</x:v>
      </x:c>
      <x:c r="M25" s="60" t="str">
        <x:v>S44</x:v>
      </x:c>
      <x:c r="N25" s="60" t="str">
        <x:v>2026-10-21</x:v>
      </x:c>
    </x:row>
    <x:row r="26" ht="28" customHeight="1">
      <x:c r="A26" s="60" t="str">
        <x:v>京城俱乐部</x:v>
      </x:c>
      <x:c r="B26" s="60" t="str">
        <x:v>见机构地图</x:v>
      </x:c>
      <x:c r="C26" s="60" t="str">
        <x:v>现行入会或核心服务</x:v>
      </x:c>
      <x:c r="D26" s="83"/>
      <x:c r="E26" s="60" t="str">
        <x:v>CNY</x:v>
      </x:c>
      <x:c r="F26" s="60" t="str">
        <x:v>待核</x:v>
      </x:c>
      <x:c r="G26" s="60" t="str">
        <x:v>未取得有效期</x:v>
      </x:c>
      <x:c r="H26" s="60" t="str">
        <x:v>未公开核实</x:v>
      </x:c>
      <x:c r="I26" s="60" t="str">
        <x:v>未公开核实</x:v>
      </x:c>
      <x:c r="J26" s="60" t="str">
        <x:v>未公开核实</x:v>
      </x:c>
      <x:c r="K26" s="60" t="str">
        <x:v>未公开核实</x:v>
      </x:c>
      <x:c r="L26" s="60" t="str">
        <x:v>未知 不采用无日期网络报价</x:v>
      </x:c>
      <x:c r="M26" s="60" t="str">
        <x:v>S23</x:v>
      </x:c>
      <x:c r="N26" s="60" t="str">
        <x:v>2026-10-21</x:v>
      </x:c>
    </x:row>
    <x:row r="27" ht="28" customHeight="1">
      <x:c r="A27" s="60" t="str">
        <x:v>HIGHER CLUB</x:v>
      </x:c>
      <x:c r="B27" s="60" t="str">
        <x:v>见机构地图</x:v>
      </x:c>
      <x:c r="C27" s="60" t="str">
        <x:v>现行入会或核心服务</x:v>
      </x:c>
      <x:c r="D27" s="83"/>
      <x:c r="E27" s="60" t="str">
        <x:v>CNY</x:v>
      </x:c>
      <x:c r="F27" s="60" t="str">
        <x:v>待核</x:v>
      </x:c>
      <x:c r="G27" s="60" t="str">
        <x:v>未取得有效期</x:v>
      </x:c>
      <x:c r="H27" s="60" t="str">
        <x:v>未公开核实</x:v>
      </x:c>
      <x:c r="I27" s="60" t="str">
        <x:v>未公开核实</x:v>
      </x:c>
      <x:c r="J27" s="60" t="str">
        <x:v>未公开核实</x:v>
      </x:c>
      <x:c r="K27" s="60" t="str">
        <x:v>未公开核实</x:v>
      </x:c>
      <x:c r="L27" s="60" t="str">
        <x:v>未知 不采用无日期网络报价</x:v>
      </x:c>
      <x:c r="M27" s="60" t="str">
        <x:v>S37</x:v>
      </x:c>
      <x:c r="N27" s="60" t="str">
        <x:v>2026-10-21</x:v>
      </x:c>
    </x:row>
    <x:row r="28" ht="28" customHeight="1">
      <x:c r="A28" s="60" t="str">
        <x:v>我主良缘</x:v>
      </x:c>
      <x:c r="B28" s="60" t="str">
        <x:v>见机构地图</x:v>
      </x:c>
      <x:c r="C28" s="60" t="str">
        <x:v>现行入会或核心服务</x:v>
      </x:c>
      <x:c r="D28" s="83"/>
      <x:c r="E28" s="60" t="str">
        <x:v>CNY</x:v>
      </x:c>
      <x:c r="F28" s="60" t="str">
        <x:v>待核</x:v>
      </x:c>
      <x:c r="G28" s="60" t="str">
        <x:v>未取得有效期</x:v>
      </x:c>
      <x:c r="H28" s="60" t="str">
        <x:v>未公开核实</x:v>
      </x:c>
      <x:c r="I28" s="60" t="str">
        <x:v>未公开核实</x:v>
      </x:c>
      <x:c r="J28" s="60" t="str">
        <x:v>未公开核实</x:v>
      </x:c>
      <x:c r="K28" s="60" t="str">
        <x:v>未公开核实</x:v>
      </x:c>
      <x:c r="L28" s="60" t="str">
        <x:v>未知 不采用无日期网络报价</x:v>
      </x:c>
      <x:c r="M28" s="60" t="str">
        <x:v>S67</x:v>
      </x:c>
      <x:c r="N28" s="60" t="str">
        <x:v>2026-10-21</x:v>
      </x:c>
    </x:row>
    <x:row r="29" ht="28" customHeight="1">
      <x:c r="A29" s="60" t="str">
        <x:v>珍爱网</x:v>
      </x:c>
      <x:c r="B29" s="60" t="str">
        <x:v>见机构地图</x:v>
      </x:c>
      <x:c r="C29" s="60" t="str">
        <x:v>现行入会或核心服务</x:v>
      </x:c>
      <x:c r="D29" s="83"/>
      <x:c r="E29" s="60" t="str">
        <x:v>CNY</x:v>
      </x:c>
      <x:c r="F29" s="60" t="str">
        <x:v>待核</x:v>
      </x:c>
      <x:c r="G29" s="60" t="str">
        <x:v>未取得有效期</x:v>
      </x:c>
      <x:c r="H29" s="60" t="str">
        <x:v>未公开核实</x:v>
      </x:c>
      <x:c r="I29" s="60" t="str">
        <x:v>未公开核实</x:v>
      </x:c>
      <x:c r="J29" s="60" t="str">
        <x:v>未公开核实</x:v>
      </x:c>
      <x:c r="K29" s="60" t="str">
        <x:v>未公开核实</x:v>
      </x:c>
      <x:c r="L29" s="60" t="str">
        <x:v>未知 不采用无日期网络报价</x:v>
      </x:c>
      <x:c r="M29" s="60" t="str">
        <x:v>S68</x:v>
      </x:c>
      <x:c r="N29" s="60" t="str">
        <x:v>2026-10-21</x:v>
      </x:c>
    </x:row>
    <x:row r="30" ht="28" customHeight="1">
      <x:c r="A30" s="60" t="str">
        <x:v>MarryU</x:v>
      </x:c>
      <x:c r="B30" s="60" t="str">
        <x:v>见机构地图</x:v>
      </x:c>
      <x:c r="C30" s="60" t="str">
        <x:v>现行入会或核心服务</x:v>
      </x:c>
      <x:c r="D30" s="83"/>
      <x:c r="E30" s="60" t="str">
        <x:v>CNY</x:v>
      </x:c>
      <x:c r="F30" s="60" t="str">
        <x:v>待核</x:v>
      </x:c>
      <x:c r="G30" s="60" t="str">
        <x:v>未取得有效期</x:v>
      </x:c>
      <x:c r="H30" s="60" t="str">
        <x:v>未公开核实</x:v>
      </x:c>
      <x:c r="I30" s="60" t="str">
        <x:v>未公开核实</x:v>
      </x:c>
      <x:c r="J30" s="60" t="str">
        <x:v>未公开核实</x:v>
      </x:c>
      <x:c r="K30" s="60" t="str">
        <x:v>未公开核实</x:v>
      </x:c>
      <x:c r="L30" s="60" t="str">
        <x:v>未知 不采用无日期网络报价</x:v>
      </x:c>
      <x:c r="M30" s="60" t="str">
        <x:v>S70</x:v>
      </x:c>
      <x:c r="N30" s="60" t="str">
        <x:v>2026-10-21</x:v>
      </x:c>
    </x:row>
    <x:row r="31" ht="28" customHeight="1">
      <x:c r="A31" s="60" t="str">
        <x:v>鸿鹄逸游</x:v>
      </x:c>
      <x:c r="B31" s="60" t="str">
        <x:v>见机构地图</x:v>
      </x:c>
      <x:c r="C31" s="60" t="str">
        <x:v>现行入会或核心服务</x:v>
      </x:c>
      <x:c r="D31" s="83"/>
      <x:c r="E31" s="60" t="str">
        <x:v>CNY</x:v>
      </x:c>
      <x:c r="F31" s="60" t="str">
        <x:v>待核</x:v>
      </x:c>
      <x:c r="G31" s="60" t="str">
        <x:v>未取得有效期</x:v>
      </x:c>
      <x:c r="H31" s="60" t="str">
        <x:v>未公开核实</x:v>
      </x:c>
      <x:c r="I31" s="60" t="str">
        <x:v>未公开核实</x:v>
      </x:c>
      <x:c r="J31" s="60" t="str">
        <x:v>未公开核实</x:v>
      </x:c>
      <x:c r="K31" s="60" t="str">
        <x:v>未公开核实</x:v>
      </x:c>
      <x:c r="L31" s="60" t="str">
        <x:v>未知 不采用无日期网络报价</x:v>
      </x:c>
      <x:c r="M31" s="60" t="str">
        <x:v>S57</x:v>
      </x:c>
      <x:c r="N31" s="60" t="str">
        <x:v>2026-10-21</x:v>
      </x:c>
    </x:row>
    <x:row r="32" ht="28" customHeight="1">
      <x:c r="A32" s="60" t="str">
        <x:v>赞那度</x:v>
      </x:c>
      <x:c r="B32" s="60" t="str">
        <x:v>见机构地图</x:v>
      </x:c>
      <x:c r="C32" s="60" t="str">
        <x:v>现行入会或核心服务</x:v>
      </x:c>
      <x:c r="D32" s="83"/>
      <x:c r="E32" s="60" t="str">
        <x:v>CNY</x:v>
      </x:c>
      <x:c r="F32" s="60" t="str">
        <x:v>待核</x:v>
      </x:c>
      <x:c r="G32" s="60" t="str">
        <x:v>未取得有效期</x:v>
      </x:c>
      <x:c r="H32" s="60" t="str">
        <x:v>未公开核实</x:v>
      </x:c>
      <x:c r="I32" s="60" t="str">
        <x:v>未公开核实</x:v>
      </x:c>
      <x:c r="J32" s="60" t="str">
        <x:v>未公开核实</x:v>
      </x:c>
      <x:c r="K32" s="60" t="str">
        <x:v>未公开核实</x:v>
      </x:c>
      <x:c r="L32" s="60" t="str">
        <x:v>未知 不采用无日期网络报价</x:v>
      </x:c>
      <x:c r="M32" s="60" t="str">
        <x:v>S60</x:v>
      </x:c>
      <x:c r="N32" s="60" t="str">
        <x:v>2026-10-21</x:v>
      </x:c>
    </x:row>
    <x:row r="33" ht="28" customHeight="1">
      <x:c r="A33" s="60" t="str">
        <x:v>碧山旅行</x:v>
      </x:c>
      <x:c r="B33" s="60" t="str">
        <x:v>见机构地图</x:v>
      </x:c>
      <x:c r="C33" s="60" t="str">
        <x:v>现行入会或核心服务</x:v>
      </x:c>
      <x:c r="D33" s="83"/>
      <x:c r="E33" s="60" t="str">
        <x:v>CNY</x:v>
      </x:c>
      <x:c r="F33" s="60" t="str">
        <x:v>待核</x:v>
      </x:c>
      <x:c r="G33" s="60" t="str">
        <x:v>未取得有效期</x:v>
      </x:c>
      <x:c r="H33" s="60" t="str">
        <x:v>未公开核实</x:v>
      </x:c>
      <x:c r="I33" s="60" t="str">
        <x:v>未公开核实</x:v>
      </x:c>
      <x:c r="J33" s="60" t="str">
        <x:v>未公开核实</x:v>
      </x:c>
      <x:c r="K33" s="60" t="str">
        <x:v>未公开核实</x:v>
      </x:c>
      <x:c r="L33" s="60" t="str">
        <x:v>未知 不采用无日期网络报价</x:v>
      </x:c>
      <x:c r="M33" s="60" t="str">
        <x:v>S58</x:v>
      </x:c>
      <x:c r="N33" s="60" t="str">
        <x:v>2026-10-21</x:v>
      </x:c>
    </x:row>
    <x:row r="34" ht="28" customHeight="1">
      <x:c r="A34" s="60" t="str">
        <x:v>耀悦</x:v>
      </x:c>
      <x:c r="B34" s="60" t="str">
        <x:v>南澳大利亚及墨尔本</x:v>
      </x:c>
      <x:c r="C34" s="60" t="str">
        <x:v>南澳探索鎏金双境 四人私享</x:v>
      </x:c>
      <x:c r="D34" s="83" t="n">
        <x:v>49500</x:v>
      </x:c>
      <x:c r="E34" s="60" t="str">
        <x:v>CNY</x:v>
      </x:c>
      <x:c r="F34" s="60" t="str">
        <x:v>人/次 起</x:v>
      </x:c>
      <x:c r="G34" s="60" t="str">
        <x:v>笔记显示09-11</x:v>
      </x:c>
      <x:c r="H34" s="60" t="str">
        <x:v>10晚11天；阶段行程与酒店描述</x:v>
      </x:c>
      <x:c r="I34" s="60" t="str">
        <x:v>机票 单房差 签证及完整包含待核</x:v>
      </x:c>
      <x:c r="J34" s="60" t="str">
        <x:v>4人成行；团期单独确认</x:v>
      </x:c>
      <x:c r="K34" s="60" t="str">
        <x:v>未公开核实</x:v>
      </x:c>
      <x:c r="L34" s="60" t="str">
        <x:v>账号正文报价 非成交</x:v>
      </x:c>
      <x:c r="M34" s="60" t="str">
        <x:v>X03-09</x:v>
      </x:c>
      <x:c r="N34" s="60" t="str">
        <x:v>2026-10-21</x:v>
      </x:c>
    </x:row>
    <x:row r="35" ht="28" customHeight="1">
      <x:c r="A35" s="60" t="str">
        <x:v>耀悦</x:v>
      </x:c>
      <x:c r="B35" s="60" t="str">
        <x:v>南极</x:v>
      </x:c>
      <x:c r="C35" s="60" t="str">
        <x:v>A21麦哲伦探索号海空联航</x:v>
      </x:c>
      <x:c r="D35" s="83" t="n">
        <x:v>119000</x:v>
      </x:c>
      <x:c r="E35" s="60" t="str">
        <x:v>CNY</x:v>
      </x:c>
      <x:c r="F35" s="60" t="str">
        <x:v>人/次</x:v>
      </x:c>
      <x:c r="G35" s="60" t="str">
        <x:v>笔记显示10-09</x:v>
      </x:c>
      <x:c r="H35" s="60" t="str">
        <x:v>7晚8天；南极海空方案</x:v>
      </x:c>
      <x:c r="I35" s="60" t="str">
        <x:v>国际交通 舱房 单房差等待核</x:v>
      </x:c>
      <x:c r="J35" s="60" t="str">
        <x:v>船载客量不是本品牌成团人数</x:v>
      </x:c>
      <x:c r="K35" s="60" t="str">
        <x:v>未公开核实</x:v>
      </x:c>
      <x:c r="L35" s="60" t="str">
        <x:v>账号正文报价 非成交</x:v>
      </x:c>
      <x:c r="M35" s="60" t="str">
        <x:v>X03-03</x:v>
      </x:c>
      <x:c r="N35" s="60" t="str">
        <x:v>2026-10-21</x:v>
      </x:c>
    </x:row>
    <x:row r="36" ht="36" customHeight="1">
      <x:c r="A36" s="60" t="str">
        <x:v>耀悦</x:v>
      </x:c>
      <x:c r="B36" s="60" t="str">
        <x:v>津巴布韦 博茨瓦纳 南非</x:v>
      </x:c>
      <x:c r="C36" s="60" t="str">
        <x:v>春节三国9天 报价异常</x:v>
      </x:c>
      <x:c r="D36" s="83" t="n">
        <x:v>13800</x:v>
      </x:c>
      <x:c r="E36" s="60" t="str">
        <x:v>CNY</x:v>
      </x:c>
      <x:c r="F36" s="60" t="str">
        <x:v>人/次</x:v>
      </x:c>
      <x:c r="G36" s="60" t="str">
        <x:v>2027-01-18至02-28出发窗口</x:v>
      </x:c>
      <x:c r="H36" s="60" t="str">
        <x:v>正文列9天及多项高奢资源</x:v>
      </x:c>
      <x:c r="I36" s="60" t="str">
        <x:v>完整费用待核</x:v>
      </x:c>
      <x:c r="J36" s="60" t="str">
        <x:v>原文1.38万元与资源组合待核，不纳入价格锚</x:v>
      </x:c>
      <x:c r="K36" s="60" t="str">
        <x:v>未公开核实</x:v>
      </x:c>
      <x:c r="L36" s="60" t="str">
        <x:v>异常 待书面核实</x:v>
      </x:c>
      <x:c r="M36" s="60" t="str">
        <x:v>X03-01</x:v>
      </x:c>
      <x:c r="N36" s="60" t="str">
        <x:v>2026-10-21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3762a583a094d25"/>
  </x:tableParts>
</x:worksheet>
</file>

<file path=xl/worksheets/sheet5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34" hidden="0" customWidth="1"/>
    <x:col min="5" max="5" width="28" hidden="0" customWidth="1"/>
    <x:col min="6" max="6" width="50" hidden="0" customWidth="1"/>
    <x:col min="7" max="7" width="22" hidden="0" customWidth="1"/>
    <x:col min="8" max="8" width="22" hidden="0" customWidth="1"/>
    <x:col min="9" max="9" width="48" hidden="0" customWidth="1"/>
    <x:col min="10" max="10" width="38" hidden="0" customWidth="1"/>
    <x:col min="11" max="11" width="36" hidden="0" customWidth="1"/>
    <x:col min="12" max="12" width="43" hidden="0" customWidth="1"/>
    <x:col min="13" max="13" width="19" hidden="0" customWidth="1"/>
  </x:cols>
  <x:sheetData>
    <x:row r="1" ht="30" customHeight="1">
      <x:c r="A1" s="53" t="str">
        <x:v>产品分类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</x:row>
    <x:row r="2" ht="32" customHeight="1">
      <x:c r="A2" s="54" t="str">
        <x:v>采集截止 2026-10-21　|　机构定位与实际客户分开；产品并列不证明交叉销售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 ht="30" customHeight="1">
      <x:c r="A4" s="59" t="str">
        <x:v>机构ID</x:v>
      </x:c>
      <x:c r="B4" s="59" t="str">
        <x:v>机构</x:v>
      </x:c>
      <x:c r="C4" s="59" t="str">
        <x:v>产品类别</x:v>
      </x:c>
      <x:c r="D4" s="59" t="str">
        <x:v>核心需求</x:v>
      </x:c>
      <x:c r="E4" s="59" t="str">
        <x:v>收费模式</x:v>
      </x:c>
      <x:c r="F4" s="59" t="str">
        <x:v>期限频次及权益</x:v>
      </x:c>
      <x:c r="G4" s="59" t="str">
        <x:v>线上线下比例</x:v>
      </x:c>
      <x:c r="H4" s="59" t="str">
        <x:v>预约候补</x:v>
      </x:c>
      <x:c r="I4" s="59" t="str">
        <x:v>关系状态及带客</x:v>
      </x:c>
      <x:c r="J4" s="59" t="str">
        <x:v>体验咨询入口</x:v>
      </x:c>
      <x:c r="K4" s="59" t="str">
        <x:v>自有合作交付</x:v>
      </x:c>
      <x:c r="L4" s="59" t="str">
        <x:v>交叉销售证据</x:v>
      </x:c>
      <x:c r="M4" s="59" t="str">
        <x:v>源ID</x:v>
      </x:c>
    </x:row>
    <x:row r="5" ht="28" customHeight="1">
      <x:c r="A5" s="60" t="str">
        <x:v>O01</x:v>
      </x:c>
      <x:c r="B5" s="60" t="str">
        <x:v>京城俱乐部</x:v>
      </x:c>
      <x:c r="C5" s="60" t="str">
        <x:v>会籍 餐饮 康乐 活动</x:v>
      </x:c>
      <x:c r="D5" s="60" t="str">
        <x:v>综合消费与重复到访</x:v>
      </x:c>
      <x:c r="E5" s="60" t="str">
        <x:v>场景会籍 可额外消费</x:v>
      </x:c>
      <x:c r="F5" s="60" t="str">
        <x:v>会籍期限待核；包间设施活动邀约</x:v>
      </x:c>
      <x:c r="G5" s="60" t="str">
        <x:v>未公开核实</x:v>
      </x:c>
      <x:c r="H5" s="60" t="str">
        <x:v>未公开核实</x:v>
      </x:c>
      <x:c r="I5" s="60" t="str">
        <x:v>宾客与家人依规则；婚恋无证据</x:v>
      </x:c>
      <x:c r="J5" s="60" t="str">
        <x:v>会员及顾问咨询 S23</x:v>
      </x:c>
      <x:c r="K5" s="60" t="str">
        <x:v>自有场地加合作活动</x:v>
      </x:c>
      <x:c r="L5" s="60" t="str">
        <x:v>没有成交追踪证据，不判断交叉销售成功</x:v>
      </x:c>
      <x:c r="M5" s="60" t="str">
        <x:v>S22</x:v>
      </x:c>
    </x:row>
    <x:row r="6" ht="28" customHeight="1">
      <x:c r="A6" s="60" t="str">
        <x:v>O02</x:v>
      </x:c>
      <x:c r="B6" s="60" t="str">
        <x:v>HIGHER CLUB</x:v>
      </x:c>
      <x:c r="C6" s="60" t="str">
        <x:v>闭门晚宴 艺术 创始人对谈</x:v>
      </x:c>
      <x:c r="D6" s="60" t="str">
        <x:v>身份筛选与生活方式</x:v>
      </x:c>
      <x:c r="E6" s="60" t="str">
        <x:v>审核会籍 品牌合作</x:v>
      </x:c>
      <x:c r="F6" s="60" t="str">
        <x:v>期限与包含活动未知</x:v>
      </x:c>
      <x:c r="G6" s="60" t="str">
        <x:v>未公开核实</x:v>
      </x:c>
      <x:c r="H6" s="60" t="str">
        <x:v>未公开核实</x:v>
      </x:c>
      <x:c r="I6" s="60" t="str">
        <x:v>关系状态准入未知</x:v>
      </x:c>
      <x:c r="J6" s="60" t="str">
        <x:v>扫码添加联系人 S37</x:v>
      </x:c>
      <x:c r="K6" s="60" t="str">
        <x:v>创始团队及合作方</x:v>
      </x:c>
      <x:c r="L6" s="60" t="str">
        <x:v>没有成交追踪证据，不判断交叉销售成功</x:v>
      </x:c>
      <x:c r="M6" s="60" t="str">
        <x:v>S37</x:v>
      </x:c>
    </x:row>
    <x:row r="7" ht="28" customHeight="1">
      <x:c r="A7" s="60" t="str">
        <x:v>O08</x:v>
      </x:c>
      <x:c r="B7" s="60" t="str">
        <x:v>伟事达中国</x:v>
      </x:c>
      <x:c r="C7" s="60" t="str">
        <x:v>CE SE KE VI</x:v>
      </x:c>
      <x:c r="D7" s="60" t="str">
        <x:v>决策与领导力</x:v>
      </x:c>
      <x:c r="E7" s="60" t="str">
        <x:v>分层年费 企业定制</x:v>
      </x:c>
      <x:c r="F7" s="60" t="str">
        <x:v>结构化年度服务 S28</x:v>
      </x:c>
      <x:c r="G7" s="60" t="str">
        <x:v>未公开核实</x:v>
      </x:c>
      <x:c r="H7" s="60" t="str">
        <x:v>未公开核实</x:v>
      </x:c>
      <x:c r="I7" s="60" t="str">
        <x:v>非以婚恋状态筛选；不推断配偶权益</x:v>
      </x:c>
      <x:c r="J7" s="60" t="str">
        <x:v>体验会 面试 组员认可 S30</x:v>
      </x:c>
      <x:c r="K7" s="60" t="str">
        <x:v>教练 专家 同侪</x:v>
      </x:c>
      <x:c r="L7" s="60" t="str">
        <x:v>没有成交追踪证据，不判断交叉销售成功</x:v>
      </x:c>
      <x:c r="M7" s="60" t="str">
        <x:v>S28</x:v>
      </x:c>
    </x:row>
    <x:row r="8" ht="28" customHeight="1">
      <x:c r="A8" s="60" t="str">
        <x:v>O09</x:v>
      </x:c>
      <x:c r="B8" s="60" t="str">
        <x:v>EO China East</x:v>
      </x:c>
      <x:c r="C8" s="60" t="str">
        <x:v>同侪网络 分会活动</x:v>
      </x:c>
      <x:c r="D8" s="60" t="str">
        <x:v>经营者成长</x:v>
      </x:c>
      <x:c r="E8" s="60" t="str">
        <x:v>全球加地方会费</x:v>
      </x:c>
      <x:c r="F8" s="60" t="str">
        <x:v>全球年费；地方字段需核实</x:v>
      </x:c>
      <x:c r="G8" s="60" t="str">
        <x:v>未公开核实</x:v>
      </x:c>
      <x:c r="H8" s="60" t="str">
        <x:v>未公开核实</x:v>
      </x:c>
      <x:c r="I8" s="60" t="str">
        <x:v>伴侣参与待核</x:v>
      </x:c>
      <x:c r="J8" s="60" t="str">
        <x:v>会员资格与分会联系入口</x:v>
      </x:c>
      <x:c r="K8" s="60" t="str">
        <x:v>分会及全球网络</x:v>
      </x:c>
      <x:c r="L8" s="60" t="str">
        <x:v>没有成交追踪证据，不判断交叉销售成功</x:v>
      </x:c>
      <x:c r="M8" s="60" t="str">
        <x:v>S38</x:v>
      </x:c>
    </x:row>
    <x:row r="9" ht="28" customHeight="1">
      <x:c r="A9" s="60" t="str">
        <x:v>O10</x:v>
      </x:c>
      <x:c r="B9" s="60" t="str">
        <x:v>正和岛</x:v>
      </x:c>
      <x:c r="C9" s="60" t="str">
        <x:v>案例共学 商业链接 社群</x:v>
      </x:c>
      <x:c r="D9" s="60" t="str">
        <x:v>企业家成长与适配</x:v>
      </x:c>
      <x:c r="E9" s="60" t="str">
        <x:v>会员及平台服务 现价未知</x:v>
      </x:c>
      <x:c r="F9" s="60" t="str">
        <x:v>个人与企业服务边界待核</x:v>
      </x:c>
      <x:c r="G9" s="60" t="str">
        <x:v>未公开核实</x:v>
      </x:c>
      <x:c r="H9" s="60" t="str">
        <x:v>未公开核实</x:v>
      </x:c>
      <x:c r="I9" s="60" t="str">
        <x:v>家庭参与待核</x:v>
      </x:c>
      <x:c r="J9" s="60" t="str">
        <x:v>APP 内容矩阵</x:v>
      </x:c>
      <x:c r="K9" s="60" t="str">
        <x:v>平台及区域组织</x:v>
      </x:c>
      <x:c r="L9" s="60" t="str">
        <x:v>没有成交追踪证据，不判断交叉销售成功</x:v>
      </x:c>
      <x:c r="M9" s="60" t="str">
        <x:v>S39</x:v>
      </x:c>
    </x:row>
    <x:row r="10" ht="28" customHeight="1">
      <x:c r="A10" s="60" t="str">
        <x:v>O21</x:v>
      </x:c>
      <x:c r="B10" s="60" t="str">
        <x:v>深圳市侨商国际联合会</x:v>
      </x:c>
      <x:c r="C10" s="60" t="str">
        <x:v>商会活动 企业联络</x:v>
      </x:c>
      <x:c r="D10" s="60" t="str">
        <x:v>组织网络与经贸</x:v>
      </x:c>
      <x:c r="E10" s="60" t="str">
        <x:v>分层组织会费</x:v>
      </x:c>
      <x:c r="F10" s="60" t="str">
        <x:v>3000元起为普通会费 非商业套餐</x:v>
      </x:c>
      <x:c r="G10" s="60" t="str">
        <x:v>未公开核实</x:v>
      </x:c>
      <x:c r="H10" s="60" t="str">
        <x:v>未公开核实</x:v>
      </x:c>
      <x:c r="I10" s="60" t="str">
        <x:v>侨港澳身份与企业条件</x:v>
      </x:c>
      <x:c r="J10" s="60" t="str">
        <x:v>申请表审核</x:v>
      </x:c>
      <x:c r="K10" s="60" t="str">
        <x:v>组织委员会</x:v>
      </x:c>
      <x:c r="L10" s="60" t="str">
        <x:v>没有成交追踪证据，不判断交叉销售成功</x:v>
      </x:c>
      <x:c r="M10" s="60" t="str">
        <x:v>S40</x:v>
      </x:c>
    </x:row>
    <x:row r="11" ht="28" customHeight="1">
      <x:c r="A11" s="60" t="str">
        <x:v>O22</x:v>
      </x:c>
      <x:c r="B11" s="60" t="str">
        <x:v>上海美国商会</x:v>
      </x:c>
      <x:c r="C11" s="60" t="str">
        <x:v>商务活动 企业学习 家庭延伸</x:v>
      </x:c>
      <x:c r="D11" s="60" t="str">
        <x:v>企业资源与会员家庭</x:v>
      </x:c>
      <x:c r="E11" s="60" t="str">
        <x:v>会籍加活动票</x:v>
      </x:c>
      <x:c r="F11" s="60" t="str">
        <x:v>3500/6000是单次青少年项目</x:v>
      </x:c>
      <x:c r="G11" s="60" t="str">
        <x:v>未公开核实</x:v>
      </x:c>
      <x:c r="H11" s="60" t="str">
        <x:v>未公开核实</x:v>
      </x:c>
      <x:c r="I11" s="60" t="str">
        <x:v>会员子女项目有年级条件</x:v>
      </x:c>
      <x:c r="J11" s="60" t="str">
        <x:v>官网及Glue Up报名</x:v>
      </x:c>
      <x:c r="K11" s="60" t="str">
        <x:v>组织及接待企业</x:v>
      </x:c>
      <x:c r="L11" s="60" t="str">
        <x:v>没有成交追踪证据，不判断交叉销售成功</x:v>
      </x:c>
      <x:c r="M11" s="60" t="str">
        <x:v>S41</x:v>
      </x:c>
    </x:row>
    <x:row r="12" ht="28" customHeight="1">
      <x:c r="A12" s="60" t="str">
        <x:v>O24</x:v>
      </x:c>
      <x:c r="B12" s="60" t="str">
        <x:v>耀悦</x:v>
      </x:c>
      <x:c r="C12" s="60" t="str">
        <x:v>私享 招募团 游学 列车邮轮</x:v>
      </x:c>
      <x:c r="D12" s="60" t="str">
        <x:v>专业旅行与主题体验</x:v>
      </x:c>
      <x:c r="E12" s="60" t="str">
        <x:v>按团产品及定制</x:v>
      </x:c>
      <x:c r="F12" s="60" t="str">
        <x:v>按人起价；权益按线路</x:v>
      </x:c>
      <x:c r="G12" s="60" t="str">
        <x:v>未公开核实</x:v>
      </x:c>
      <x:c r="H12" s="60" t="str">
        <x:v>未公开核实</x:v>
      </x:c>
      <x:c r="I12" s="60" t="str">
        <x:v>官方有家庭伴侣旅行服务</x:v>
      </x:c>
      <x:c r="J12" s="60" t="str">
        <x:v>主题内容 联系顾问 定制申请</x:v>
      </x:c>
      <x:c r="K12" s="60" t="str">
        <x:v>旅游服务网络</x:v>
      </x:c>
      <x:c r="L12" s="60" t="str">
        <x:v>没有成交追踪证据，不判断交叉销售成功</x:v>
      </x:c>
      <x:c r="M12" s="60" t="str">
        <x:v>S33</x:v>
      </x:c>
    </x:row>
    <x:row r="13" ht="28" customHeight="1">
      <x:c r="A13" s="60" t="str">
        <x:v>O25</x:v>
      </x:c>
      <x:c r="B13" s="60" t="str">
        <x:v>鸿鹄逸游</x:v>
      </x:c>
      <x:c r="C13" s="60" t="str">
        <x:v>目的地及奢华旅行</x:v>
      </x:c>
      <x:c r="D13" s="60" t="str">
        <x:v>品质出行</x:v>
      </x:c>
      <x:c r="E13" s="60" t="str">
        <x:v>线路及定制</x:v>
      </x:c>
      <x:c r="F13" s="60" t="str">
        <x:v>动态报价未取得</x:v>
      </x:c>
      <x:c r="G13" s="60" t="str">
        <x:v>未公开核实</x:v>
      </x:c>
      <x:c r="H13" s="60" t="str">
        <x:v>未公开核实</x:v>
      </x:c>
      <x:c r="I13" s="60" t="str">
        <x:v>家庭与同行条件待核</x:v>
      </x:c>
      <x:c r="J13" s="60" t="str">
        <x:v>携程品牌页面</x:v>
      </x:c>
      <x:c r="K13" s="60" t="str">
        <x:v>平台与供应链</x:v>
      </x:c>
      <x:c r="L13" s="60" t="str">
        <x:v>没有成交追踪证据，不判断交叉销售成功</x:v>
      </x:c>
      <x:c r="M13" s="60" t="str">
        <x:v>S57</x:v>
      </x:c>
    </x:row>
    <x:row r="14" ht="28" customHeight="1">
      <x:c r="A14" s="60" t="str">
        <x:v>O26</x:v>
      </x:c>
      <x:c r="B14" s="60" t="str">
        <x:v>碧山旅行 WildChina</x:v>
      </x:c>
      <x:c r="C14" s="60" t="str">
        <x:v>定制深度文化旅行</x:v>
      </x:c>
      <x:c r="D14" s="60" t="str">
        <x:v>文化理解与体验</x:v>
      </x:c>
      <x:c r="E14" s="60" t="str">
        <x:v>定制 小团</x:v>
      </x:c>
      <x:c r="F14" s="60" t="str">
        <x:v>以路线及主题报价 未取得现价</x:v>
      </x:c>
      <x:c r="G14" s="60" t="str">
        <x:v>未公开核实</x:v>
      </x:c>
      <x:c r="H14" s="60" t="str">
        <x:v>未公开核实</x:v>
      </x:c>
      <x:c r="I14" s="60" t="str">
        <x:v>多类同行形式 具体待核</x:v>
      </x:c>
      <x:c r="J14" s="60" t="str">
        <x:v>旅行故事与咨询</x:v>
      </x:c>
      <x:c r="K14" s="60" t="str">
        <x:v>旅行设计及当地资源</x:v>
      </x:c>
      <x:c r="L14" s="60" t="str">
        <x:v>没有成交追踪证据，不判断交叉销售成功</x:v>
      </x:c>
      <x:c r="M14" s="60" t="str">
        <x:v>S58</x:v>
      </x:c>
    </x:row>
    <x:row r="15" ht="28" customHeight="1">
      <x:c r="A15" s="60" t="str">
        <x:v>O28</x:v>
      </x:c>
      <x:c r="B15" s="60" t="str">
        <x:v>赞那度</x:v>
      </x:c>
      <x:c r="C15" s="60" t="str">
        <x:v>高端旅游与内容</x:v>
      </x:c>
      <x:c r="D15" s="60" t="str">
        <x:v>品质旅行灵感</x:v>
      </x:c>
      <x:c r="E15" s="60" t="str">
        <x:v>旅游产品与顾问</x:v>
      </x:c>
      <x:c r="F15" s="60" t="str">
        <x:v>现行费用未核</x:v>
      </x:c>
      <x:c r="G15" s="60" t="str">
        <x:v>未公开核实</x:v>
      </x:c>
      <x:c r="H15" s="60" t="str">
        <x:v>未公开核实</x:v>
      </x:c>
      <x:c r="I15" s="60" t="str">
        <x:v>同行形式按产品</x:v>
      </x:c>
      <x:c r="J15" s="60" t="str">
        <x:v>内容到旅行咨询</x:v>
      </x:c>
      <x:c r="K15" s="60" t="str">
        <x:v>旅行专家及供应链</x:v>
      </x:c>
      <x:c r="L15" s="60" t="str">
        <x:v>没有成交追踪证据，不判断交叉销售成功</x:v>
      </x:c>
      <x:c r="M15" s="60" t="str">
        <x:v>S60</x:v>
      </x:c>
    </x:row>
    <x:row r="16" ht="28" customHeight="1">
      <x:c r="A16" s="60" t="str">
        <x:v>O35</x:v>
      </x:c>
      <x:c r="B16" s="60" t="str">
        <x:v>我主良缘</x:v>
      </x:c>
      <x:c r="C16" s="60" t="str">
        <x:v>牵线 红娘 情感及形象</x:v>
      </x:c>
      <x:c r="D16" s="60" t="str">
        <x:v>明确结婚目标</x:v>
      </x:c>
      <x:c r="E16" s="60" t="str">
        <x:v>顾问服务 套餐现价未知</x:v>
      </x:c>
      <x:c r="F16" s="60" t="str">
        <x:v>服务次数期限须看合同</x:v>
      </x:c>
      <x:c r="G16" s="60" t="str">
        <x:v>未公开核实</x:v>
      </x:c>
      <x:c r="H16" s="60" t="str">
        <x:v>未公开核实</x:v>
      </x:c>
      <x:c r="I16" s="60" t="str">
        <x:v>以结婚为目的单身人员 自述</x:v>
      </x:c>
      <x:c r="J16" s="60" t="str">
        <x:v>官网 APP 顾问咨询</x:v>
      </x:c>
      <x:c r="K16" s="60" t="str">
        <x:v>门店红娘团队</x:v>
      </x:c>
      <x:c r="L16" s="60" t="str">
        <x:v>没有成交追踪证据，不判断交叉销售成功</x:v>
      </x:c>
      <x:c r="M16" s="60" t="str">
        <x:v>S67</x:v>
      </x:c>
    </x:row>
    <x:row r="17" ht="28" customHeight="1">
      <x:c r="A17" s="60" t="str">
        <x:v>O36</x:v>
      </x:c>
      <x:c r="B17" s="60" t="str">
        <x:v>珍爱网</x:v>
      </x:c>
      <x:c r="C17" s="60" t="str">
        <x:v>线上婚恋与红娘</x:v>
      </x:c>
      <x:c r="D17" s="60" t="str">
        <x:v>匹配与效率</x:v>
      </x:c>
      <x:c r="E17" s="60" t="str">
        <x:v>增值及服务套餐</x:v>
      </x:c>
      <x:c r="F17" s="60" t="str">
        <x:v>现价及自动续费以具体合同</x:v>
      </x:c>
      <x:c r="G17" s="60" t="str">
        <x:v>未公开核实</x:v>
      </x:c>
      <x:c r="H17" s="60" t="str">
        <x:v>未公开核实</x:v>
      </x:c>
      <x:c r="I17" s="60" t="str">
        <x:v>严肃婚恋单身用户</x:v>
      </x:c>
      <x:c r="J17" s="60" t="str">
        <x:v>网站注册及服务咨询</x:v>
      </x:c>
      <x:c r="K17" s="60" t="str">
        <x:v>平台与红娘</x:v>
      </x:c>
      <x:c r="L17" s="60" t="str">
        <x:v>没有成交追踪证据，不判断交叉销售成功</x:v>
      </x:c>
      <x:c r="M17" s="60" t="str">
        <x:v>S68</x:v>
      </x:c>
    </x:row>
    <x:row r="18" ht="28" customHeight="1">
      <x:c r="A18" s="60" t="str">
        <x:v>O38</x:v>
      </x:c>
      <x:c r="B18" s="60" t="str">
        <x:v>MarryU</x:v>
      </x:c>
      <x:c r="C18" s="60" t="str">
        <x:v>普通牵线 VIP 定制 主题局</x:v>
      </x:c>
      <x:c r="D18" s="60" t="str">
        <x:v>结婚计划与匹配</x:v>
      </x:c>
      <x:c r="E18" s="60" t="str">
        <x:v>分级服务</x:v>
      </x:c>
      <x:c r="F18" s="60" t="str">
        <x:v>现价期限未知</x:v>
      </x:c>
      <x:c r="G18" s="60" t="str">
        <x:v>未公开核实</x:v>
      </x:c>
      <x:c r="H18" s="60" t="str">
        <x:v>未公开核实</x:v>
      </x:c>
      <x:c r="I18" s="60" t="str">
        <x:v>有明确结婚计划的单身者</x:v>
      </x:c>
      <x:c r="J18" s="60" t="str">
        <x:v>官网 微信 微博</x:v>
      </x:c>
      <x:c r="K18" s="60" t="str">
        <x:v>俱乐部顾问</x:v>
      </x:c>
      <x:c r="L18" s="60" t="str">
        <x:v>没有成交追踪证据，不判断交叉销售成功</x:v>
      </x:c>
      <x:c r="M18" s="60" t="str">
        <x:v>S70</x:v>
      </x:c>
    </x:row>
    <x:row r="19" ht="28" customHeight="1">
      <x:c r="A19" s="60" t="str">
        <x:v>O14</x:v>
      </x:c>
      <x:c r="B19" s="60" t="str">
        <x:v>中欧国际工商学院</x:v>
      </x:c>
      <x:c r="C19" s="60" t="str">
        <x:v>EMBA 高管学习 校友活动</x:v>
      </x:c>
      <x:c r="D19" s="60" t="str">
        <x:v>学习 学历 校友网络</x:v>
      </x:c>
      <x:c r="E19" s="60" t="str">
        <x:v>按项目学费</x:v>
      </x:c>
      <x:c r="F19" s="60" t="str">
        <x:v>2026级学费及部分食宿包含</x:v>
      </x:c>
      <x:c r="G19" s="60" t="str">
        <x:v>未公开核实</x:v>
      </x:c>
      <x:c r="H19" s="60" t="str">
        <x:v>未公开核实</x:v>
      </x:c>
      <x:c r="I19" s="60" t="str">
        <x:v>招生条件重经历；伴侣权益待核</x:v>
      </x:c>
      <x:c r="J19" s="60" t="str">
        <x:v>招生官网 申请与面试</x:v>
      </x:c>
      <x:c r="K19" s="60" t="str">
        <x:v>学院及校友组织</x:v>
      </x:c>
      <x:c r="L19" s="60" t="str">
        <x:v>没有成交追踪证据，不判断交叉销售成功</x:v>
      </x:c>
      <x:c r="M19" s="60" t="str">
        <x:v>S42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3fee9b302df4f5b"/>
  </x:tableParts>
</x:worksheet>
</file>

<file path=xl/worksheets/sheet6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4" hidden="0" customWidth="1"/>
    <x:col min="4" max="4" width="32" hidden="0" customWidth="1"/>
    <x:col min="5" max="5" width="38" hidden="0" customWidth="1"/>
    <x:col min="6" max="6" width="43" hidden="0" customWidth="1"/>
    <x:col min="7" max="7" width="46" hidden="0" customWidth="1"/>
    <x:col min="8" max="8" width="25" hidden="0" customWidth="1"/>
    <x:col min="9" max="9" width="50" hidden="0" customWidth="1"/>
    <x:col min="10" max="10" width="42" hidden="0" customWidth="1"/>
  </x:cols>
  <x:sheetData>
    <x:row r="1" ht="30" customHeight="1">
      <x:c r="A1" s="53" t="str">
        <x:v>客户画像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32" customHeight="1">
      <x:c r="A2" s="54" t="str">
        <x:v>采集截止 2026-10-21　|　非虚构人物；实际预算年龄资产占比未取得，三家逐字段见字段核验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0" customHeight="1">
      <x:c r="A4" s="59" t="str">
        <x:v>画像ID</x:v>
      </x:c>
      <x:c r="B4" s="59" t="str">
        <x:v>需求分层</x:v>
      </x:c>
      <x:c r="C4" s="59" t="str">
        <x:v>职业身份定位</x:v>
      </x:c>
      <x:c r="D4" s="59" t="str">
        <x:v>关系状态</x:v>
      </x:c>
      <x:c r="E4" s="59" t="str">
        <x:v>核心需求</x:v>
      </x:c>
      <x:c r="F4" s="59" t="str">
        <x:v>购买触发 假设</x:v>
      </x:c>
      <x:c r="G4" s="59" t="str">
        <x:v>选择标准</x:v>
      </x:c>
      <x:c r="H4" s="59" t="str">
        <x:v>源ID</x:v>
      </x:c>
      <x:c r="I4" s="59" t="str">
        <x:v>证据与待验边界</x:v>
      </x:c>
      <x:c r="J4" s="59" t="str">
        <x:v>重要限制</x:v>
      </x:c>
    </x:row>
    <x:row r="5" ht="28" customHeight="1">
      <x:c r="A5" s="60" t="str">
        <x:v>P01</x:v>
      </x:c>
      <x:c r="B5" s="60" t="str">
        <x:v>忙碌企业经营者</x:v>
      </x:c>
      <x:c r="C5" s="60" t="str">
        <x:v>企业家与合伙人 不限定性别</x:v>
      </x:c>
      <x:c r="D5" s="60" t="str">
        <x:v>单身 恋爱 已婚均可能</x:v>
      </x:c>
      <x:c r="E5" s="60" t="str">
        <x:v>同侪讨论与可控时间交往</x:v>
      </x:c>
      <x:c r="F5" s="60" t="str">
        <x:v>决策问题或现有关系重复</x:v>
      </x:c>
      <x:c r="G5" s="60" t="str">
        <x:v>能否接触合适同行；讨论保密；时间成本</x:v>
      </x:c>
      <x:c r="H5" s="60" t="str">
        <x:v>S28 S30 S38</x:v>
      </x:c>
      <x:c r="I5" s="60" t="str">
        <x:v>职业客群有机构准入证据；预算及触发为待验假设</x:v>
      </x:c>
      <x:c r="J5" s="60" t="str">
        <x:v>不默认想获取投资或婚恋</x:v>
      </x:c>
    </x:row>
    <x:row r="6" ht="28" customHeight="1">
      <x:c r="A6" s="60" t="str">
        <x:v>P02</x:v>
      </x:c>
      <x:c r="B6" s="60" t="str">
        <x:v>品质体验组织需求</x:v>
      </x:c>
      <x:c r="C6" s="60" t="str">
        <x:v>高管与专业人士 不推定资产</x:v>
      </x:c>
      <x:c r="D6" s="60" t="str">
        <x:v>伴侣或已婚可共同参加</x:v>
      </x:c>
      <x:c r="E6" s="60" t="str">
        <x:v>省心旅行与兴趣连接</x:v>
      </x:c>
      <x:c r="F6" s="60" t="str">
        <x:v>休假与纪念日或兴趣</x:v>
      </x:c>
      <x:c r="G6" s="60" t="str">
        <x:v>内容质量、同行适配、交付稳定</x:v>
      </x:c>
      <x:c r="H6" s="60" t="str">
        <x:v>S33 S61 S65</x:v>
      </x:c>
      <x:c r="I6" s="60" t="str">
        <x:v>旅行产品供给支持；付费社交需求未验证</x:v>
      </x:c>
      <x:c r="J6" s="60" t="str">
        <x:v>不把旅游消费全部算社交消费</x:v>
      </x:c>
    </x:row>
    <x:row r="7" ht="28" customHeight="1">
      <x:c r="A7" s="60" t="str">
        <x:v>P03</x:v>
      </x:c>
      <x:c r="B7" s="60" t="str">
        <x:v>严肃婚恋需求</x:v>
      </x:c>
      <x:c r="C7" s="60" t="str">
        <x:v>有结婚计划的成年人</x:v>
      </x:c>
      <x:c r="D7" s="60" t="str">
        <x:v>单身</x:v>
      </x:c>
      <x:c r="E7" s="60" t="str">
        <x:v>匹配与关系推进</x:v>
      </x:c>
      <x:c r="F7" s="60" t="str">
        <x:v>择偶效率或朋友圈有限</x:v>
      </x:c>
      <x:c r="G7" s="60" t="str">
        <x:v>真实性、匹配、次数、退费</x:v>
      </x:c>
      <x:c r="H7" s="60" t="str">
        <x:v>S67 S68 S70 S20</x:v>
      </x:c>
      <x:c r="I7" s="60" t="str">
        <x:v>目标定位有证据；具体预算和转化未知</x:v>
      </x:c>
      <x:c r="J7" s="60" t="str">
        <x:v>婚恋需自愿独立报名</x:v>
      </x:c>
    </x:row>
    <x:row r="8" ht="36" customHeight="1">
      <x:c r="A8" s="60" t="str">
        <x:v>P04</x:v>
      </x:c>
      <x:c r="B8" s="60" t="str">
        <x:v>青年家族成员</x:v>
      </x:c>
      <x:c r="C8" s="60" t="str">
        <x:v>年轻创业者与家族二代</x:v>
      </x:c>
      <x:c r="D8" s="60" t="str">
        <x:v>各类关系状态</x:v>
      </x:c>
      <x:c r="E8" s="60" t="str">
        <x:v>同背景交往与文化体验</x:v>
      </x:c>
      <x:c r="F8" s="60" t="str">
        <x:v>留学回国或接班圈层变化 待验</x:v>
      </x:c>
      <x:c r="G8" s="60" t="str">
        <x:v>氛围、边界、品牌、隐私</x:v>
      </x:c>
      <x:c r="H8" s="60" t="str">
        <x:v>S37</x:v>
      </x:c>
      <x:c r="I8" s="60" t="str">
        <x:v>仅品牌自述，不能确认实际资产与年龄结构</x:v>
      </x:c>
      <x:c r="J8" s="60" t="str">
        <x:v>官网含未成年人定位，新公司成人服务另行设边界</x:v>
      </x:c>
    </x:row>
    <x:row r="9" ht="28" customHeight="1">
      <x:c r="A9" s="60" t="str">
        <x:v>P05</x:v>
      </x:c>
      <x:c r="B9" s="60" t="str">
        <x:v>家庭延伸需求</x:v>
      </x:c>
      <x:c r="C9" s="60" t="str">
        <x:v>已有会员的伴侣或家长</x:v>
      </x:c>
      <x:c r="D9" s="60" t="str">
        <x:v>恋爱 已婚及育儿</x:v>
      </x:c>
      <x:c r="E9" s="60" t="str">
        <x:v>共同体验及子女学习</x:v>
      </x:c>
      <x:c r="F9" s="60" t="str">
        <x:v>家庭假期、子女学习</x:v>
      </x:c>
      <x:c r="G9" s="60" t="str">
        <x:v>家庭友好、安排透明、时间兼容</x:v>
      </x:c>
      <x:c r="H9" s="60" t="str">
        <x:v>S41 S53 S65</x:v>
      </x:c>
      <x:c r="I9" s="60" t="str">
        <x:v>供给存在；夫妻付费和独立参与意愿待验</x:v>
      </x:c>
      <x:c r="J9" s="60" t="str">
        <x:v>家庭票不等于婚恋票</x:v>
      </x:c>
    </x:row>
    <x:row r="10" ht="28" customHeight="1">
      <x:c r="A10" s="60" t="str">
        <x:v>P06</x:v>
      </x:c>
      <x:c r="B10" s="60" t="str">
        <x:v>同兴趣轻社交</x:v>
      </x:c>
      <x:c r="C10" s="60" t="str">
        <x:v>跨职业成年人</x:v>
      </x:c>
      <x:c r="D10" s="60" t="str">
        <x:v>各类关系状态</x:v>
      </x:c>
      <x:c r="E10" s="60" t="str">
        <x:v>一起活动且关系低负担</x:v>
      </x:c>
      <x:c r="F10" s="60" t="str">
        <x:v>搬迁或兴趣活动缺伙伴 待验</x:v>
      </x:c>
      <x:c r="G10" s="60" t="str">
        <x:v>兴趣、节奏、消费观、地理距离</x:v>
      </x:c>
      <x:c r="H10" s="60" t="str">
        <x:v>S17 S18 S19</x:v>
      </x:c>
      <x:c r="I10" s="60" t="str">
        <x:v>大众样本与理论支持，不代表高净值群体</x:v>
      </x:c>
      <x:c r="J10" s="60" t="str">
        <x:v>不能以网络互动热度当报名需求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2f452cf707b43e6"/>
  </x:tableParts>
</x:worksheet>
</file>

<file path=xl/worksheets/sheet7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44" hidden="0" customWidth="1"/>
    <x:col min="3" max="3" width="43" hidden="0" customWidth="1"/>
    <x:col min="4" max="4" width="38" hidden="0" customWidth="1"/>
    <x:col min="5" max="5" width="48" hidden="0" customWidth="1"/>
    <x:col min="6" max="6" width="40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5" hidden="0" customWidth="1"/>
  </x:cols>
  <x:sheetData>
    <x:row r="1" ht="30" customHeight="1">
      <x:c r="A1" s="53" t="str">
        <x:v>获客路径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32" customHeight="1">
      <x:c r="A2" s="54" t="str">
        <x:v>采集截止 2026-10-21　|　完整漏斗保留未知；无有效线索成交与花费不算CAC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0" customHeight="1">
      <x:c r="A4" s="59" t="str">
        <x:v>机构</x:v>
      </x:c>
      <x:c r="B4" s="59" t="str">
        <x:v>公开渠道及入口</x:v>
      </x:c>
      <x:c r="C4" s="59" t="str">
        <x:v>可见内容主题</x:v>
      </x:c>
      <x:c r="D4" s="59" t="str">
        <x:v>访问或留资</x:v>
      </x:c>
      <x:c r="E4" s="59" t="str">
        <x:v>咨询与成交边界</x:v>
      </x:c>
      <x:c r="F4" s="59" t="str">
        <x:v>筛选</x:v>
      </x:c>
      <x:c r="G4" s="59" t="str">
        <x:v>体验转付费率</x:v>
      </x:c>
      <x:c r="H4" s="59" t="str">
        <x:v>获客成本</x:v>
      </x:c>
      <x:c r="I4" s="59" t="str">
        <x:v>转介绍成交</x:v>
      </x:c>
      <x:c r="J4" s="59" t="str">
        <x:v>机制与实绩区别</x:v>
      </x:c>
      <x:c r="K4" s="59" t="str">
        <x:v>源ID</x:v>
      </x:c>
    </x:row>
    <x:row r="5" ht="28" customHeight="1">
      <x:c r="A5" s="60" t="str">
        <x:v>京城俱乐部</x:v>
      </x:c>
      <x:c r="B5" s="60" t="str">
        <x:v>会员及顾问咨询 S23</x:v>
      </x:c>
      <x:c r="C5" s="60" t="str">
        <x:v>会籍 餐饮 康乐 活动</x:v>
      </x:c>
      <x:c r="D5" s="60" t="str">
        <x:v>网站/APP或已确认报名入口</x:v>
      </x:c>
      <x:c r="E5" s="60" t="str">
        <x:v>咨询或申请可见；成交环节未亲历</x:v>
      </x:c>
      <x:c r="F5" s="60" t="str">
        <x:v>以具体公开申请规则为准</x:v>
      </x:c>
      <x:c r="G5" s="60" t="str">
        <x:v>未公开核实</x:v>
      </x:c>
      <x:c r="H5" s="60" t="str">
        <x:v>未公开核实</x:v>
      </x:c>
      <x:c r="I5" s="60" t="str">
        <x:v>未公开核实</x:v>
      </x:c>
      <x:c r="J5" s="60" t="str">
        <x:v>机制是否存在与实际转化分开</x:v>
      </x:c>
      <x:c r="K5" s="60" t="str">
        <x:v>S22</x:v>
      </x:c>
    </x:row>
    <x:row r="6" ht="28" customHeight="1">
      <x:c r="A6" s="60" t="str">
        <x:v>HIGHER CLUB</x:v>
      </x:c>
      <x:c r="B6" s="60" t="str">
        <x:v>扫码添加联系人 S37</x:v>
      </x:c>
      <x:c r="C6" s="60" t="str">
        <x:v>闭门晚宴 艺术 创始人对谈</x:v>
      </x:c>
      <x:c r="D6" s="60" t="str">
        <x:v>网站/APP或已确认报名入口</x:v>
      </x:c>
      <x:c r="E6" s="60" t="str">
        <x:v>咨询或申请可见；成交环节未亲历</x:v>
      </x:c>
      <x:c r="F6" s="60" t="str">
        <x:v>以具体公开申请规则为准</x:v>
      </x:c>
      <x:c r="G6" s="60" t="str">
        <x:v>未公开核实</x:v>
      </x:c>
      <x:c r="H6" s="60" t="str">
        <x:v>未公开核实</x:v>
      </x:c>
      <x:c r="I6" s="60" t="str">
        <x:v>未公开核实</x:v>
      </x:c>
      <x:c r="J6" s="60" t="str">
        <x:v>机制是否存在与实际转化分开</x:v>
      </x:c>
      <x:c r="K6" s="60" t="str">
        <x:v>S37</x:v>
      </x:c>
    </x:row>
    <x:row r="7" ht="28" customHeight="1">
      <x:c r="A7" s="60" t="str">
        <x:v>伟事达中国</x:v>
      </x:c>
      <x:c r="B7" s="60" t="str">
        <x:v>体验会 面试 组员认可 S30</x:v>
      </x:c>
      <x:c r="C7" s="60" t="str">
        <x:v>CE SE KE VI</x:v>
      </x:c>
      <x:c r="D7" s="60" t="str">
        <x:v>网站/APP或已确认报名入口</x:v>
      </x:c>
      <x:c r="E7" s="60" t="str">
        <x:v>咨询或申请可见；成交环节未亲历</x:v>
      </x:c>
      <x:c r="F7" s="60" t="str">
        <x:v>教练面试及组员认可</x:v>
      </x:c>
      <x:c r="G7" s="60" t="str">
        <x:v>未公开核实</x:v>
      </x:c>
      <x:c r="H7" s="60" t="str">
        <x:v>未公开核实</x:v>
      </x:c>
      <x:c r="I7" s="60" t="str">
        <x:v>未公开核实</x:v>
      </x:c>
      <x:c r="J7" s="60" t="str">
        <x:v>机制是否存在与实际转化分开</x:v>
      </x:c>
      <x:c r="K7" s="60" t="str">
        <x:v>S28</x:v>
      </x:c>
    </x:row>
    <x:row r="8" ht="28" customHeight="1">
      <x:c r="A8" s="60" t="str">
        <x:v>EO China East</x:v>
      </x:c>
      <x:c r="B8" s="60" t="str">
        <x:v>会员资格与分会联系入口</x:v>
      </x:c>
      <x:c r="C8" s="60" t="str">
        <x:v>同侪网络 分会活动</x:v>
      </x:c>
      <x:c r="D8" s="60" t="str">
        <x:v>网站/APP或已确认报名入口</x:v>
      </x:c>
      <x:c r="E8" s="60" t="str">
        <x:v>咨询或申请可见；成交环节未亲历</x:v>
      </x:c>
      <x:c r="F8" s="60" t="str">
        <x:v>以具体公开申请规则为准</x:v>
      </x:c>
      <x:c r="G8" s="60" t="str">
        <x:v>未公开核实</x:v>
      </x:c>
      <x:c r="H8" s="60" t="str">
        <x:v>未公开核实</x:v>
      </x:c>
      <x:c r="I8" s="60" t="str">
        <x:v>未公开核实</x:v>
      </x:c>
      <x:c r="J8" s="60" t="str">
        <x:v>机制是否存在与实际转化分开</x:v>
      </x:c>
      <x:c r="K8" s="60" t="str">
        <x:v>S38</x:v>
      </x:c>
    </x:row>
    <x:row r="9" ht="28" customHeight="1">
      <x:c r="A9" s="60" t="str">
        <x:v>正和岛</x:v>
      </x:c>
      <x:c r="B9" s="60" t="str">
        <x:v>APP 内容矩阵</x:v>
      </x:c>
      <x:c r="C9" s="60" t="str">
        <x:v>案例共学 商业链接 社群</x:v>
      </x:c>
      <x:c r="D9" s="60" t="str">
        <x:v>网站/APP或已确认报名入口</x:v>
      </x:c>
      <x:c r="E9" s="60" t="str">
        <x:v>咨询或申请可见；成交环节未亲历</x:v>
      </x:c>
      <x:c r="F9" s="60" t="str">
        <x:v>以具体公开申请规则为准</x:v>
      </x:c>
      <x:c r="G9" s="60" t="str">
        <x:v>未公开核实</x:v>
      </x:c>
      <x:c r="H9" s="60" t="str">
        <x:v>未公开核实</x:v>
      </x:c>
      <x:c r="I9" s="60" t="str">
        <x:v>未公开核实</x:v>
      </x:c>
      <x:c r="J9" s="60" t="str">
        <x:v>机制是否存在与实际转化分开</x:v>
      </x:c>
      <x:c r="K9" s="60" t="str">
        <x:v>S39</x:v>
      </x:c>
    </x:row>
    <x:row r="10" ht="28" customHeight="1">
      <x:c r="A10" s="60" t="str">
        <x:v>深圳市侨商国际联合会</x:v>
      </x:c>
      <x:c r="B10" s="60" t="str">
        <x:v>申请表审核</x:v>
      </x:c>
      <x:c r="C10" s="60" t="str">
        <x:v>商会活动 企业联络</x:v>
      </x:c>
      <x:c r="D10" s="60" t="str">
        <x:v>网站/APP或已确认报名入口</x:v>
      </x:c>
      <x:c r="E10" s="60" t="str">
        <x:v>咨询或申请可见；成交环节未亲历</x:v>
      </x:c>
      <x:c r="F10" s="60" t="str">
        <x:v>以具体公开申请规则为准</x:v>
      </x:c>
      <x:c r="G10" s="60" t="str">
        <x:v>未公开核实</x:v>
      </x:c>
      <x:c r="H10" s="60" t="str">
        <x:v>未公开核实</x:v>
      </x:c>
      <x:c r="I10" s="60" t="str">
        <x:v>未公开核实</x:v>
      </x:c>
      <x:c r="J10" s="60" t="str">
        <x:v>机制是否存在与实际转化分开</x:v>
      </x:c>
      <x:c r="K10" s="60" t="str">
        <x:v>S40</x:v>
      </x:c>
    </x:row>
    <x:row r="11" ht="28" customHeight="1">
      <x:c r="A11" s="60" t="str">
        <x:v>上海美国商会</x:v>
      </x:c>
      <x:c r="B11" s="60" t="str">
        <x:v>官网及Glue Up报名</x:v>
      </x:c>
      <x:c r="C11" s="60" t="str">
        <x:v>商务活动 企业学习 家庭延伸</x:v>
      </x:c>
      <x:c r="D11" s="60" t="str">
        <x:v>网站/APP或已确认报名入口</x:v>
      </x:c>
      <x:c r="E11" s="60" t="str">
        <x:v>咨询或申请可见；成交环节未亲历</x:v>
      </x:c>
      <x:c r="F11" s="60" t="str">
        <x:v>以具体公开申请规则为准</x:v>
      </x:c>
      <x:c r="G11" s="60" t="str">
        <x:v>未公开核实</x:v>
      </x:c>
      <x:c r="H11" s="60" t="str">
        <x:v>未公开核实</x:v>
      </x:c>
      <x:c r="I11" s="60" t="str">
        <x:v>未公开核实</x:v>
      </x:c>
      <x:c r="J11" s="60" t="str">
        <x:v>机制是否存在与实际转化分开</x:v>
      </x:c>
      <x:c r="K11" s="60" t="str">
        <x:v>S41</x:v>
      </x:c>
    </x:row>
    <x:row r="12" ht="28" customHeight="1">
      <x:c r="A12" s="60" t="str">
        <x:v>耀悦</x:v>
      </x:c>
      <x:c r="B12" s="60" t="str">
        <x:v>官网 服务号 微信顾问 小红书品牌自述账号</x:v>
      </x:c>
      <x:c r="C12" s="60" t="str">
        <x:v>私享 招募团 游学 列车邮轮</x:v>
      </x:c>
      <x:c r="D12" s="60" t="str">
        <x:v>网站/APP或已确认报名入口</x:v>
      </x:c>
      <x:c r="E12" s="60" t="str">
        <x:v>咨询或申请可见；成交环节未亲历</x:v>
      </x:c>
      <x:c r="F12" s="60" t="str">
        <x:v>以具体公开申请规则为准</x:v>
      </x:c>
      <x:c r="G12" s="60" t="str">
        <x:v>未公开核实</x:v>
      </x:c>
      <x:c r="H12" s="60" t="str">
        <x:v>未公开核实</x:v>
      </x:c>
      <x:c r="I12" s="60" t="str">
        <x:v>未公开核实</x:v>
      </x:c>
      <x:c r="J12" s="60" t="str">
        <x:v>机制是否存在与实际转化分开</x:v>
      </x:c>
      <x:c r="K12" s="60" t="str">
        <x:v>S33 X03</x:v>
      </x:c>
    </x:row>
    <x:row r="13" ht="28" customHeight="1">
      <x:c r="A13" s="60" t="str">
        <x:v>鸿鹄逸游</x:v>
      </x:c>
      <x:c r="B13" s="60" t="str">
        <x:v>携程品牌页面</x:v>
      </x:c>
      <x:c r="C13" s="60" t="str">
        <x:v>目的地及奢华旅行</x:v>
      </x:c>
      <x:c r="D13" s="60" t="str">
        <x:v>网站/APP或已确认报名入口</x:v>
      </x:c>
      <x:c r="E13" s="60" t="str">
        <x:v>咨询或申请可见；成交环节未亲历</x:v>
      </x:c>
      <x:c r="F13" s="60" t="str">
        <x:v>以具体公开申请规则为准</x:v>
      </x:c>
      <x:c r="G13" s="60" t="str">
        <x:v>未公开核实</x:v>
      </x:c>
      <x:c r="H13" s="60" t="str">
        <x:v>未公开核实</x:v>
      </x:c>
      <x:c r="I13" s="60" t="str">
        <x:v>未公开核实</x:v>
      </x:c>
      <x:c r="J13" s="60" t="str">
        <x:v>机制是否存在与实际转化分开</x:v>
      </x:c>
      <x:c r="K13" s="60" t="str">
        <x:v>S57</x:v>
      </x:c>
    </x:row>
    <x:row r="14" ht="28" customHeight="1">
      <x:c r="A14" s="60" t="str">
        <x:v>碧山旅行 WildChina</x:v>
      </x:c>
      <x:c r="B14" s="60" t="str">
        <x:v>旅行故事与咨询</x:v>
      </x:c>
      <x:c r="C14" s="60" t="str">
        <x:v>定制深度文化旅行</x:v>
      </x:c>
      <x:c r="D14" s="60" t="str">
        <x:v>网站/APP或已确认报名入口</x:v>
      </x:c>
      <x:c r="E14" s="60" t="str">
        <x:v>咨询或申请可见；成交环节未亲历</x:v>
      </x:c>
      <x:c r="F14" s="60" t="str">
        <x:v>以具体公开申请规则为准</x:v>
      </x:c>
      <x:c r="G14" s="60" t="str">
        <x:v>未公开核实</x:v>
      </x:c>
      <x:c r="H14" s="60" t="str">
        <x:v>未公开核实</x:v>
      </x:c>
      <x:c r="I14" s="60" t="str">
        <x:v>未公开核实</x:v>
      </x:c>
      <x:c r="J14" s="60" t="str">
        <x:v>机制是否存在与实际转化分开</x:v>
      </x:c>
      <x:c r="K14" s="60" t="str">
        <x:v>S58</x:v>
      </x:c>
    </x:row>
    <x:row r="15" ht="28" customHeight="1">
      <x:c r="A15" s="60" t="str">
        <x:v>赞那度</x:v>
      </x:c>
      <x:c r="B15" s="60" t="str">
        <x:v>内容到旅行咨询</x:v>
      </x:c>
      <x:c r="C15" s="60" t="str">
        <x:v>高端旅游与内容</x:v>
      </x:c>
      <x:c r="D15" s="60" t="str">
        <x:v>网站/APP或已确认报名入口</x:v>
      </x:c>
      <x:c r="E15" s="60" t="str">
        <x:v>咨询或申请可见；成交环节未亲历</x:v>
      </x:c>
      <x:c r="F15" s="60" t="str">
        <x:v>以具体公开申请规则为准</x:v>
      </x:c>
      <x:c r="G15" s="60" t="str">
        <x:v>未公开核实</x:v>
      </x:c>
      <x:c r="H15" s="60" t="str">
        <x:v>未公开核实</x:v>
      </x:c>
      <x:c r="I15" s="60" t="str">
        <x:v>未公开核实</x:v>
      </x:c>
      <x:c r="J15" s="60" t="str">
        <x:v>机制是否存在与实际转化分开</x:v>
      </x:c>
      <x:c r="K15" s="60" t="str">
        <x:v>S60</x:v>
      </x:c>
    </x:row>
    <x:row r="16" ht="28" customHeight="1">
      <x:c r="A16" s="60" t="str">
        <x:v>我主良缘</x:v>
      </x:c>
      <x:c r="B16" s="60" t="str">
        <x:v>官网 APP 顾问咨询</x:v>
      </x:c>
      <x:c r="C16" s="60" t="str">
        <x:v>牵线 红娘 情感及形象</x:v>
      </x:c>
      <x:c r="D16" s="60" t="str">
        <x:v>网站/APP或已确认报名入口</x:v>
      </x:c>
      <x:c r="E16" s="60" t="str">
        <x:v>咨询或申请可见；成交环节未亲历</x:v>
      </x:c>
      <x:c r="F16" s="60" t="str">
        <x:v>以具体公开申请规则为准</x:v>
      </x:c>
      <x:c r="G16" s="60" t="str">
        <x:v>未公开核实</x:v>
      </x:c>
      <x:c r="H16" s="60" t="str">
        <x:v>未公开核实</x:v>
      </x:c>
      <x:c r="I16" s="60" t="str">
        <x:v>未公开核实</x:v>
      </x:c>
      <x:c r="J16" s="60" t="str">
        <x:v>机制是否存在与实际转化分开</x:v>
      </x:c>
      <x:c r="K16" s="60" t="str">
        <x:v>S67</x:v>
      </x:c>
    </x:row>
    <x:row r="17" ht="28" customHeight="1">
      <x:c r="A17" s="60" t="str">
        <x:v>珍爱网</x:v>
      </x:c>
      <x:c r="B17" s="60" t="str">
        <x:v>网站注册及服务咨询</x:v>
      </x:c>
      <x:c r="C17" s="60" t="str">
        <x:v>线上婚恋与红娘</x:v>
      </x:c>
      <x:c r="D17" s="60" t="str">
        <x:v>网站/APP或已确认报名入口</x:v>
      </x:c>
      <x:c r="E17" s="60" t="str">
        <x:v>咨询或申请可见；成交环节未亲历</x:v>
      </x:c>
      <x:c r="F17" s="60" t="str">
        <x:v>以具体公开申请规则为准</x:v>
      </x:c>
      <x:c r="G17" s="60" t="str">
        <x:v>未公开核实</x:v>
      </x:c>
      <x:c r="H17" s="60" t="str">
        <x:v>未公开核实</x:v>
      </x:c>
      <x:c r="I17" s="60" t="str">
        <x:v>未公开核实</x:v>
      </x:c>
      <x:c r="J17" s="60" t="str">
        <x:v>机制是否存在与实际转化分开</x:v>
      </x:c>
      <x:c r="K17" s="60" t="str">
        <x:v>S68</x:v>
      </x:c>
    </x:row>
    <x:row r="18" ht="28" customHeight="1">
      <x:c r="A18" s="60" t="str">
        <x:v>MarryU</x:v>
      </x:c>
      <x:c r="B18" s="60" t="str">
        <x:v>官网 微信 微博</x:v>
      </x:c>
      <x:c r="C18" s="60" t="str">
        <x:v>普通牵线 VIP 定制 主题局</x:v>
      </x:c>
      <x:c r="D18" s="60" t="str">
        <x:v>网站/APP或已确认报名入口</x:v>
      </x:c>
      <x:c r="E18" s="60" t="str">
        <x:v>咨询或申请可见；成交环节未亲历</x:v>
      </x:c>
      <x:c r="F18" s="60" t="str">
        <x:v>以具体公开申请规则为准</x:v>
      </x:c>
      <x:c r="G18" s="60" t="str">
        <x:v>未公开核实</x:v>
      </x:c>
      <x:c r="H18" s="60" t="str">
        <x:v>未公开核实</x:v>
      </x:c>
      <x:c r="I18" s="60" t="str">
        <x:v>未公开核实</x:v>
      </x:c>
      <x:c r="J18" s="60" t="str">
        <x:v>机制是否存在与实际转化分开</x:v>
      </x:c>
      <x:c r="K18" s="60" t="str">
        <x:v>S70</x:v>
      </x:c>
    </x:row>
    <x:row r="19" ht="28" customHeight="1">
      <x:c r="A19" s="60" t="str">
        <x:v>中欧国际工商学院</x:v>
      </x:c>
      <x:c r="B19" s="60" t="str">
        <x:v>招生官网 申请与面试</x:v>
      </x:c>
      <x:c r="C19" s="60" t="str">
        <x:v>EMBA 高管学习 校友活动</x:v>
      </x:c>
      <x:c r="D19" s="60" t="str">
        <x:v>网站/APP或已确认报名入口</x:v>
      </x:c>
      <x:c r="E19" s="60" t="str">
        <x:v>咨询或申请可见；成交环节未亲历</x:v>
      </x:c>
      <x:c r="F19" s="60" t="str">
        <x:v>以具体公开申请规则为准</x:v>
      </x:c>
      <x:c r="G19" s="60" t="str">
        <x:v>未公开核实</x:v>
      </x:c>
      <x:c r="H19" s="60" t="str">
        <x:v>未公开核实</x:v>
      </x:c>
      <x:c r="I19" s="60" t="str">
        <x:v>未公开核实</x:v>
      </x:c>
      <x:c r="J19" s="60" t="str">
        <x:v>机制是否存在与实际转化分开</x:v>
      </x:c>
      <x:c r="K19" s="60" t="str">
        <x:v>S42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a17911d4ad34bf6"/>
  </x:tableParts>
</x:worksheet>
</file>

<file path=xl/worksheets/sheet8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35" hidden="0" customWidth="1"/>
    <x:col min="4" max="4" width="30" hidden="0" customWidth="1"/>
    <x:col min="5" max="5" width="23" hidden="0" customWidth="1"/>
    <x:col min="6" max="6" width="33" hidden="0" customWidth="1"/>
    <x:col min="7" max="7" width="34" hidden="0" customWidth="1"/>
    <x:col min="8" max="8" width="12" hidden="0" customWidth="1"/>
    <x:col min="9" max="9" width="17" hidden="0" customWidth="1"/>
    <x:col min="10" max="10" width="38" hidden="0" customWidth="1"/>
    <x:col min="11" max="11" width="50" hidden="0" customWidth="1"/>
    <x:col min="12" max="12" width="19" hidden="0" customWidth="1"/>
    <x:col min="13" max="13" width="50" hidden="0" customWidth="1"/>
  </x:cols>
  <x:sheetData>
    <x:row r="1" ht="30" customHeight="1">
      <x:c r="A1" s="53" t="str">
        <x:v>活动记录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</x:row>
    <x:row r="2" ht="32" customHeight="1">
      <x:c r="A2" s="54" t="str">
        <x:v>采集截止 2026-10-21　|　实际回顾、合作会面、产品设计分开；不把预告当已举办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 ht="30" customHeight="1">
      <x:c r="A4" s="59" t="str">
        <x:v>活动ID</x:v>
      </x:c>
      <x:c r="B4" s="59" t="str">
        <x:v>机构</x:v>
      </x:c>
      <x:c r="C4" s="59" t="str">
        <x:v>活动名称</x:v>
      </x:c>
      <x:c r="D4" s="59" t="str">
        <x:v>时间或团期</x:v>
      </x:c>
      <x:c r="E4" s="59" t="str">
        <x:v>地点</x:v>
      </x:c>
      <x:c r="F4" s="59" t="str">
        <x:v>记录类型</x:v>
      </x:c>
      <x:c r="G4" s="59" t="str">
        <x:v>目标人群</x:v>
      </x:c>
      <x:c r="H4" s="59" t="str">
        <x:v>天数</x:v>
      </x:c>
      <x:c r="I4" s="59" t="str">
        <x:v>人均报价</x:v>
      </x:c>
      <x:c r="J4" s="59" t="str">
        <x:v>到场情况</x:v>
      </x:c>
      <x:c r="K4" s="59" t="str">
        <x:v>可见安排</x:v>
      </x:c>
      <x:c r="L4" s="59" t="str">
        <x:v>源ID</x:v>
      </x:c>
      <x:c r="M4" s="59" t="str">
        <x:v>证据限制</x:v>
      </x:c>
    </x:row>
    <x:row r="5" ht="28" customHeight="1">
      <x:c r="A5" s="60" t="str">
        <x:v>E01</x:v>
      </x:c>
      <x:c r="B5" s="60" t="str">
        <x:v>京城俱乐部</x:v>
      </x:c>
      <x:c r="C5" s="60" t="str">
        <x:v>会员新春活动</x:v>
      </x:c>
      <x:c r="D5" s="60" t="str">
        <x:v>2026-02-06</x:v>
      </x:c>
      <x:c r="E5" s="60" t="str">
        <x:v>北京</x:v>
      </x:c>
      <x:c r="F5" s="60" t="str">
        <x:v>活动回顾转载</x:v>
      </x:c>
      <x:c r="G5" s="60" t="str">
        <x:v>会员及外交和协同嘉宾</x:v>
      </x:c>
      <x:c r="H5" s="60"/>
      <x:c r="I5" s="60"/>
      <x:c r="J5" s="60" t="str">
        <x:v>报道百余人，含嘉宾</x:v>
      </x:c>
      <x:c r="K5" s="60" t="str">
        <x:v>致辞与交流有记录；逐分钟流程未知</x:v>
      </x:c>
      <x:c r="L5" s="60" t="str">
        <x:v>S26</x:v>
      </x:c>
      <x:c r="M5" s="60" t="str">
        <x:v>第三方转载，不判断付费或续费</x:v>
      </x:c>
    </x:row>
    <x:row r="6" ht="28" customHeight="1">
      <x:c r="A6" s="60" t="str">
        <x:v>E02</x:v>
      </x:c>
      <x:c r="B6" s="60" t="str">
        <x:v>京城俱乐部</x:v>
      </x:c>
      <x:c r="C6" s="60" t="str">
        <x:v>与WVADC合作会面</x:v>
      </x:c>
      <x:c r="D6" s="60" t="str">
        <x:v>2026-01-15</x:v>
      </x:c>
      <x:c r="E6" s="60" t="str">
        <x:v>北京</x:v>
      </x:c>
      <x:c r="F6" s="60" t="str">
        <x:v>合作方新闻</x:v>
      </x:c>
      <x:c r="G6" s="60" t="str">
        <x:v>俱乐部与合作机构代表</x:v>
      </x:c>
      <x:c r="H6" s="60"/>
      <x:c r="I6" s="60"/>
      <x:c r="J6" s="60" t="str">
        <x:v>未公开核实</x:v>
      </x:c>
      <x:c r="K6" s="60" t="str">
        <x:v>合作讨论记录；不视作售票会员活动</x:v>
      </x:c>
      <x:c r="L6" s="60" t="str">
        <x:v>S27</x:v>
      </x:c>
      <x:c r="M6" s="60" t="str">
        <x:v>替代观察记录，未取得第二场完整公开会员活动</x:v>
      </x:c>
    </x:row>
    <x:row r="7" ht="28" customHeight="1">
      <x:c r="A7" s="60" t="str">
        <x:v>E03</x:v>
      </x:c>
      <x:c r="B7" s="60" t="str">
        <x:v>伟事达中国</x:v>
      </x:c>
      <x:c r="C7" s="60" t="str">
        <x:v>068组马来西亚私董游学</x:v>
      </x:c>
      <x:c r="D7" s="60" t="str">
        <x:v>2026-06-03至07</x:v>
      </x:c>
      <x:c r="E7" s="60" t="str">
        <x:v>马来西亚</x:v>
      </x:c>
      <x:c r="F7" s="60" t="str">
        <x:v>机构回顾索引</x:v>
      </x:c>
      <x:c r="G7" s="60" t="str">
        <x:v>小组会员 教练陈萌</x:v>
      </x:c>
      <x:c r="H7" s="60" t="n">
        <x:v>5</x:v>
      </x:c>
      <x:c r="I7" s="60"/>
      <x:c r="J7" s="60" t="str">
        <x:v>未公开核实</x:v>
      </x:c>
      <x:c r="K7" s="60" t="str">
        <x:v>海外小组与游学；具体行程未取得</x:v>
      </x:c>
      <x:c r="L7" s="60" t="str">
        <x:v>S31</x:v>
      </x:c>
      <x:c r="M7" s="60" t="str">
        <x:v>公开索引，非直接体验</x:v>
      </x:c>
    </x:row>
    <x:row r="8" ht="28" customHeight="1">
      <x:c r="A8" s="60" t="str">
        <x:v>E04</x:v>
      </x:c>
      <x:c r="B8" s="60" t="str">
        <x:v>伟事达中国</x:v>
      </x:c>
      <x:c r="C8" s="60" t="str">
        <x:v>GEIA GBA同期私董会</x:v>
      </x:c>
      <x:c r="D8" s="60" t="str">
        <x:v>2026-09-09至11</x:v>
      </x:c>
      <x:c r="E8" s="60" t="str">
        <x:v>深圳</x:v>
      </x:c>
      <x:c r="F8" s="60" t="str">
        <x:v>主办方回顾转载</x:v>
      </x:c>
      <x:c r="G8" s="60" t="str">
        <x:v>大会相关参与者</x:v>
      </x:c>
      <x:c r="H8" s="60"/>
      <x:c r="I8" s="60"/>
      <x:c r="J8" s="60" t="str">
        <x:v>未公开核实</x:v>
      </x:c>
      <x:c r="K8" s="60" t="str">
        <x:v>大会同期私董会存在；分场流程未知</x:v>
      </x:c>
      <x:c r="L8" s="60" t="str">
        <x:v>S32</x:v>
      </x:c>
      <x:c r="M8" s="60" t="str">
        <x:v>大会人数不得当私董会人数</x:v>
      </x:c>
    </x:row>
    <x:row r="9" ht="36" customHeight="1">
      <x:c r="A9" s="60" t="str">
        <x:v>E05</x:v>
      </x:c>
      <x:c r="B9" s="60" t="str">
        <x:v>耀悦</x:v>
      </x:c>
      <x:c r="C9" s="60" t="str">
        <x:v>南澳探索鎏金双境</x:v>
      </x:c>
      <x:c r="D9" s="60" t="str">
        <x:v>笔记09-11 团期未定</x:v>
      </x:c>
      <x:c r="E9" s="60" t="str">
        <x:v>南澳及墨尔本</x:v>
      </x:c>
      <x:c r="F9" s="60" t="str">
        <x:v>公开招募产品正文</x:v>
      </x:c>
      <x:c r="G9" s="60" t="str">
        <x:v>4人私享同行</x:v>
      </x:c>
      <x:c r="H9" s="60" t="n">
        <x:v>11</x:v>
      </x:c>
      <x:c r="I9" s="60" t="n">
        <x:v>49500</x:v>
      </x:c>
      <x:c r="J9" s="60" t="str">
        <x:v>未公开核实</x:v>
      </x:c>
      <x:c r="K9" s="60" t="str">
        <x:v>1—4日墨尔本；5日列车；6—7日阿德；8—9日营地；10日自由；11日返程</x:v>
      </x:c>
      <x:c r="L9" s="60" t="str">
        <x:v>X03-09</x:v>
      </x:c>
      <x:c r="M9" s="60" t="str">
        <x:v>阶段行程，不证明出团或到场</x:v>
      </x:c>
    </x:row>
    <x:row r="10" ht="28" customHeight="1">
      <x:c r="A10" s="60" t="str">
        <x:v>E06</x:v>
      </x:c>
      <x:c r="B10" s="60" t="str">
        <x:v>耀悦</x:v>
      </x:c>
      <x:c r="C10" s="60" t="str">
        <x:v>A21南极海空联航</x:v>
      </x:c>
      <x:c r="D10" s="60" t="str">
        <x:v>笔记10-09 团期未定</x:v>
      </x:c>
      <x:c r="E10" s="60" t="str">
        <x:v>南极</x:v>
      </x:c>
      <x:c r="F10" s="60" t="str">
        <x:v>公开招募产品正文</x:v>
      </x:c>
      <x:c r="G10" s="60" t="str">
        <x:v>主题旅行人群</x:v>
      </x:c>
      <x:c r="H10" s="60" t="n">
        <x:v>8</x:v>
      </x:c>
      <x:c r="I10" s="60" t="n">
        <x:v>119000</x:v>
      </x:c>
      <x:c r="J10" s="60" t="str">
        <x:v>未公开核实</x:v>
      </x:c>
      <x:c r="K10" s="60" t="str">
        <x:v>以飞机串联南极半岛与邮轮；详细日程和集合待核</x:v>
      </x:c>
      <x:c r="L10" s="60" t="str">
        <x:v>X03-03</x:v>
      </x:c>
      <x:c r="M10" s="60" t="str">
        <x:v>产品设计；船载客量不能当品牌用户量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a76ff44afe14fd1"/>
  </x:tableParts>
</x:worksheet>
</file>

<file path=xl/worksheets/sheet9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5" hidden="0" customWidth="1"/>
    <x:col min="4" max="4" width="22" hidden="0" customWidth="1"/>
    <x:col min="5" max="5" width="50" hidden="0" customWidth="1"/>
    <x:col min="6" max="6" width="50" hidden="0" customWidth="1"/>
    <x:col min="7" max="7" width="22" hidden="0" customWidth="1"/>
  </x:cols>
  <x:sheetData>
    <x:row r="1" ht="30" customHeight="1">
      <x:c r="A1" s="53" t="str">
        <x:v>活动流程</x:v>
      </x:c>
      <x:c r="B1" s="53"/>
      <x:c r="C1" s="53"/>
      <x:c r="D1" s="53"/>
      <x:c r="E1" s="53"/>
      <x:c r="F1" s="53"/>
      <x:c r="G1" s="53"/>
    </x:row>
    <x:row r="2" ht="32" customHeight="1">
      <x:c r="A2" s="54" t="str">
        <x:v>采集截止 2026-10-21　|　48个环节保留；未披露步骤不补写为竞品实际SOP</x:v>
      </x:c>
      <x:c r="B2" s="54"/>
      <x:c r="C2" s="54"/>
      <x:c r="D2" s="54"/>
      <x:c r="E2" s="54"/>
      <x:c r="F2" s="54"/>
      <x:c r="G2" s="54"/>
    </x:row>
    <x:row r="3" ht="8" customHeight="1">
      <x:c r="A3" s="50"/>
      <x:c r="B3" s="50"/>
      <x:c r="C3" s="50"/>
      <x:c r="D3" s="50"/>
      <x:c r="E3" s="50"/>
      <x:c r="F3" s="50"/>
      <x:c r="G3" s="50"/>
    </x:row>
    <x:row r="4" ht="30" customHeight="1">
      <x:c r="A4" s="59" t="str">
        <x:v>活动ID</x:v>
      </x:c>
      <x:c r="B4" s="59" t="str">
        <x:v>机构</x:v>
      </x:c>
      <x:c r="C4" s="59" t="str">
        <x:v>活动名称</x:v>
      </x:c>
      <x:c r="D4" s="59" t="str">
        <x:v>阶段</x:v>
      </x:c>
      <x:c r="E4" s="59" t="str">
        <x:v>已知环节或未知</x:v>
      </x:c>
      <x:c r="F4" s="59" t="str">
        <x:v>证据性质</x:v>
      </x:c>
      <x:c r="G4" s="59" t="str">
        <x:v>源ID</x:v>
      </x:c>
    </x:row>
    <x:row r="5" ht="28" customHeight="1">
      <x:c r="A5" s="60" t="str">
        <x:v>E01</x:v>
      </x:c>
      <x:c r="B5" s="60" t="str">
        <x:v>京城俱乐部</x:v>
      </x:c>
      <x:c r="C5" s="60" t="str">
        <x:v>会员新春活动</x:v>
      </x:c>
      <x:c r="D5" s="60" t="str">
        <x:v>活动设计</x:v>
      </x:c>
      <x:c r="E5" s="60" t="str">
        <x:v>2026年2月6日会员新春活动</x:v>
      </x:c>
      <x:c r="F5" s="60" t="str">
        <x:v>观察事实或明确未知；不补写竞品SOP</x:v>
      </x:c>
      <x:c r="G5" s="60" t="str">
        <x:v>S26</x:v>
      </x:c>
    </x:row>
    <x:row r="6" ht="28" customHeight="1">
      <x:c r="A6" s="60" t="str">
        <x:v>E01</x:v>
      </x:c>
      <x:c r="B6" s="60" t="str">
        <x:v>京城俱乐部</x:v>
      </x:c>
      <x:c r="C6" s="60" t="str">
        <x:v>会员新春活动</x:v>
      </x:c>
      <x:c r="D6" s="60" t="str">
        <x:v>招募筛选</x:v>
      </x:c>
      <x:c r="E6" s="60" t="str">
        <x:v>未公开核实</x:v>
      </x:c>
      <x:c r="F6" s="60" t="str">
        <x:v>观察事实或明确未知；不补写竞品SOP</x:v>
      </x:c>
      <x:c r="G6" s="60" t="str">
        <x:v>S26</x:v>
      </x:c>
    </x:row>
    <x:row r="7" ht="28" customHeight="1">
      <x:c r="A7" s="60" t="str">
        <x:v>E01</x:v>
      </x:c>
      <x:c r="B7" s="60" t="str">
        <x:v>京城俱乐部</x:v>
      </x:c>
      <x:c r="C7" s="60" t="str">
        <x:v>会员新春活动</x:v>
      </x:c>
      <x:c r="D7" s="60" t="str">
        <x:v>行前沟通</x:v>
      </x:c>
      <x:c r="E7" s="60" t="str">
        <x:v>未公开核实</x:v>
      </x:c>
      <x:c r="F7" s="60" t="str">
        <x:v>观察事实或明确未知；不补写竞品SOP</x:v>
      </x:c>
      <x:c r="G7" s="60" t="str">
        <x:v>S26</x:v>
      </x:c>
    </x:row>
    <x:row r="8" ht="28" customHeight="1">
      <x:c r="A8" s="60" t="str">
        <x:v>E01</x:v>
      </x:c>
      <x:c r="B8" s="60" t="str">
        <x:v>京城俱乐部</x:v>
      </x:c>
      <x:c r="C8" s="60" t="str">
        <x:v>会员新春活动</x:v>
      </x:c>
      <x:c r="D8" s="60" t="str">
        <x:v>签到入场</x:v>
      </x:c>
      <x:c r="E8" s="60" t="str">
        <x:v>未公开核实</x:v>
      </x:c>
      <x:c r="F8" s="60" t="str">
        <x:v>观察事实或明确未知；不补写竞品SOP</x:v>
      </x:c>
      <x:c r="G8" s="60" t="str">
        <x:v>S26</x:v>
      </x:c>
    </x:row>
    <x:row r="9" ht="28" customHeight="1">
      <x:c r="A9" s="60" t="str">
        <x:v>E01</x:v>
      </x:c>
      <x:c r="B9" s="60" t="str">
        <x:v>京城俱乐部</x:v>
      </x:c>
      <x:c r="C9" s="60" t="str">
        <x:v>会员新春活动</x:v>
      </x:c>
      <x:c r="D9" s="60" t="str">
        <x:v>破冰认识</x:v>
      </x:c>
      <x:c r="E9" s="60" t="str">
        <x:v>未公开核实</x:v>
      </x:c>
      <x:c r="F9" s="60" t="str">
        <x:v>观察事实或明确未知；不补写竞品SOP</x:v>
      </x:c>
      <x:c r="G9" s="60" t="str">
        <x:v>S26</x:v>
      </x:c>
    </x:row>
    <x:row r="10" ht="28" customHeight="1">
      <x:c r="A10" s="60" t="str">
        <x:v>E01</x:v>
      </x:c>
      <x:c r="B10" s="60" t="str">
        <x:v>京城俱乐部</x:v>
      </x:c>
      <x:c r="C10" s="60" t="str">
        <x:v>会员新春活动</x:v>
      </x:c>
      <x:c r="D10" s="60" t="str">
        <x:v>主体环节</x:v>
      </x:c>
      <x:c r="E10" s="60" t="str">
        <x:v>致辞及合作交流有转载记录</x:v>
      </x:c>
      <x:c r="F10" s="60" t="str">
        <x:v>观察事实或明确未知；不补写竞品SOP</x:v>
      </x:c>
      <x:c r="G10" s="60" t="str">
        <x:v>S26</x:v>
      </x:c>
    </x:row>
    <x:row r="11" ht="28" customHeight="1">
      <x:c r="A11" s="60" t="str">
        <x:v>E01</x:v>
      </x:c>
      <x:c r="B11" s="60" t="str">
        <x:v>京城俱乐部</x:v>
      </x:c>
      <x:c r="C11" s="60" t="str">
        <x:v>会员新春活动</x:v>
      </x:c>
      <x:c r="D11" s="60" t="str">
        <x:v>自由交流</x:v>
      </x:c>
      <x:c r="E11" s="60" t="str">
        <x:v>未公开核实</x:v>
      </x:c>
      <x:c r="F11" s="60" t="str">
        <x:v>观察事实或明确未知；不补写竞品SOP</x:v>
      </x:c>
      <x:c r="G11" s="60" t="str">
        <x:v>S26</x:v>
      </x:c>
    </x:row>
    <x:row r="12" ht="28" customHeight="1">
      <x:c r="A12" s="60" t="str">
        <x:v>E01</x:v>
      </x:c>
      <x:c r="B12" s="60" t="str">
        <x:v>京城俱乐部</x:v>
      </x:c>
      <x:c r="C12" s="60" t="str">
        <x:v>会员新春活动</x:v>
      </x:c>
      <x:c r="D12" s="60" t="str">
        <x:v>结束回访</x:v>
      </x:c>
      <x:c r="E12" s="60" t="str">
        <x:v>未公开核实</x:v>
      </x:c>
      <x:c r="F12" s="60" t="str">
        <x:v>观察事实或明确未知；不补写竞品SOP</x:v>
      </x:c>
      <x:c r="G12" s="60" t="str">
        <x:v>S26</x:v>
      </x:c>
    </x:row>
    <x:row r="13" ht="28" customHeight="1">
      <x:c r="A13" s="60" t="str">
        <x:v>E02</x:v>
      </x:c>
      <x:c r="B13" s="60" t="str">
        <x:v>京城俱乐部</x:v>
      </x:c>
      <x:c r="C13" s="60" t="str">
        <x:v>与WVADC合作会面</x:v>
      </x:c>
      <x:c r="D13" s="60" t="str">
        <x:v>活动设计</x:v>
      </x:c>
      <x:c r="E13" s="60" t="str">
        <x:v>2026年1月15日合作会面</x:v>
      </x:c>
      <x:c r="F13" s="60" t="str">
        <x:v>观察事实或明确未知；不补写竞品SOP</x:v>
      </x:c>
      <x:c r="G13" s="60" t="str">
        <x:v>S27</x:v>
      </x:c>
    </x:row>
    <x:row r="14" ht="28" customHeight="1">
      <x:c r="A14" s="60" t="str">
        <x:v>E02</x:v>
      </x:c>
      <x:c r="B14" s="60" t="str">
        <x:v>京城俱乐部</x:v>
      </x:c>
      <x:c r="C14" s="60" t="str">
        <x:v>与WVADC合作会面</x:v>
      </x:c>
      <x:c r="D14" s="60" t="str">
        <x:v>招募筛选</x:v>
      </x:c>
      <x:c r="E14" s="60" t="str">
        <x:v>未公开核实</x:v>
      </x:c>
      <x:c r="F14" s="60" t="str">
        <x:v>观察事实或明确未知；不补写竞品SOP</x:v>
      </x:c>
      <x:c r="G14" s="60" t="str">
        <x:v>S27</x:v>
      </x:c>
    </x:row>
    <x:row r="15" ht="28" customHeight="1">
      <x:c r="A15" s="60" t="str">
        <x:v>E02</x:v>
      </x:c>
      <x:c r="B15" s="60" t="str">
        <x:v>京城俱乐部</x:v>
      </x:c>
      <x:c r="C15" s="60" t="str">
        <x:v>与WVADC合作会面</x:v>
      </x:c>
      <x:c r="D15" s="60" t="str">
        <x:v>行前沟通</x:v>
      </x:c>
      <x:c r="E15" s="60" t="str">
        <x:v>未公开核实</x:v>
      </x:c>
      <x:c r="F15" s="60" t="str">
        <x:v>观察事实或明确未知；不补写竞品SOP</x:v>
      </x:c>
      <x:c r="G15" s="60" t="str">
        <x:v>S27</x:v>
      </x:c>
    </x:row>
    <x:row r="16" ht="28" customHeight="1">
      <x:c r="A16" s="60" t="str">
        <x:v>E02</x:v>
      </x:c>
      <x:c r="B16" s="60" t="str">
        <x:v>京城俱乐部</x:v>
      </x:c>
      <x:c r="C16" s="60" t="str">
        <x:v>与WVADC合作会面</x:v>
      </x:c>
      <x:c r="D16" s="60" t="str">
        <x:v>签到入场</x:v>
      </x:c>
      <x:c r="E16" s="60" t="str">
        <x:v>未公开核实</x:v>
      </x:c>
      <x:c r="F16" s="60" t="str">
        <x:v>观察事实或明确未知；不补写竞品SOP</x:v>
      </x:c>
      <x:c r="G16" s="60" t="str">
        <x:v>S27</x:v>
      </x:c>
    </x:row>
    <x:row r="17" ht="28" customHeight="1">
      <x:c r="A17" s="60" t="str">
        <x:v>E02</x:v>
      </x:c>
      <x:c r="B17" s="60" t="str">
        <x:v>京城俱乐部</x:v>
      </x:c>
      <x:c r="C17" s="60" t="str">
        <x:v>与WVADC合作会面</x:v>
      </x:c>
      <x:c r="D17" s="60" t="str">
        <x:v>破冰认识</x:v>
      </x:c>
      <x:c r="E17" s="60" t="str">
        <x:v>未公开核实</x:v>
      </x:c>
      <x:c r="F17" s="60" t="str">
        <x:v>观察事实或明确未知；不补写竞品SOP</x:v>
      </x:c>
      <x:c r="G17" s="60" t="str">
        <x:v>S27</x:v>
      </x:c>
    </x:row>
    <x:row r="18" ht="28" customHeight="1">
      <x:c r="A18" s="60" t="str">
        <x:v>E02</x:v>
      </x:c>
      <x:c r="B18" s="60" t="str">
        <x:v>京城俱乐部</x:v>
      </x:c>
      <x:c r="C18" s="60" t="str">
        <x:v>与WVADC合作会面</x:v>
      </x:c>
      <x:c r="D18" s="60" t="str">
        <x:v>主体环节</x:v>
      </x:c>
      <x:c r="E18" s="60" t="str">
        <x:v>合作交流</x:v>
      </x:c>
      <x:c r="F18" s="60" t="str">
        <x:v>观察事实或明确未知；不补写竞品SOP</x:v>
      </x:c>
      <x:c r="G18" s="60" t="str">
        <x:v>S27</x:v>
      </x:c>
    </x:row>
    <x:row r="19" ht="28" customHeight="1">
      <x:c r="A19" s="60" t="str">
        <x:v>E02</x:v>
      </x:c>
      <x:c r="B19" s="60" t="str">
        <x:v>京城俱乐部</x:v>
      </x:c>
      <x:c r="C19" s="60" t="str">
        <x:v>与WVADC合作会面</x:v>
      </x:c>
      <x:c r="D19" s="60" t="str">
        <x:v>自由交流</x:v>
      </x:c>
      <x:c r="E19" s="60" t="str">
        <x:v>未公开核实</x:v>
      </x:c>
      <x:c r="F19" s="60" t="str">
        <x:v>观察事实或明确未知；不补写竞品SOP</x:v>
      </x:c>
      <x:c r="G19" s="60" t="str">
        <x:v>S27</x:v>
      </x:c>
    </x:row>
    <x:row r="20" ht="28" customHeight="1">
      <x:c r="A20" s="60" t="str">
        <x:v>E02</x:v>
      </x:c>
      <x:c r="B20" s="60" t="str">
        <x:v>京城俱乐部</x:v>
      </x:c>
      <x:c r="C20" s="60" t="str">
        <x:v>与WVADC合作会面</x:v>
      </x:c>
      <x:c r="D20" s="60" t="str">
        <x:v>结束回访</x:v>
      </x:c>
      <x:c r="E20" s="60" t="str">
        <x:v>未公开核实</x:v>
      </x:c>
      <x:c r="F20" s="60" t="str">
        <x:v>观察事实或明确未知；不补写竞品SOP</x:v>
      </x:c>
      <x:c r="G20" s="60" t="str">
        <x:v>S27</x:v>
      </x:c>
    </x:row>
    <x:row r="21" ht="28" customHeight="1">
      <x:c r="A21" s="60" t="str">
        <x:v>E03</x:v>
      </x:c>
      <x:c r="B21" s="60" t="str">
        <x:v>伟事达中国</x:v>
      </x:c>
      <x:c r="C21" s="60" t="str">
        <x:v>068组马来西亚私董游学</x:v>
      </x:c>
      <x:c r="D21" s="60" t="str">
        <x:v>活动设计</x:v>
      </x:c>
      <x:c r="E21" s="60" t="str">
        <x:v>6月3—7日马来西亚海外小组游学</x:v>
      </x:c>
      <x:c r="F21" s="60" t="str">
        <x:v>观察事实或明确未知；不补写竞品SOP</x:v>
      </x:c>
      <x:c r="G21" s="60" t="str">
        <x:v>S31</x:v>
      </x:c>
    </x:row>
    <x:row r="22" ht="28" customHeight="1">
      <x:c r="A22" s="60" t="str">
        <x:v>E03</x:v>
      </x:c>
      <x:c r="B22" s="60" t="str">
        <x:v>伟事达中国</x:v>
      </x:c>
      <x:c r="C22" s="60" t="str">
        <x:v>068组马来西亚私董游学</x:v>
      </x:c>
      <x:c r="D22" s="60" t="str">
        <x:v>招募筛选</x:v>
      </x:c>
      <x:c r="E22" s="60" t="str">
        <x:v>068组；非公开全员招募</x:v>
      </x:c>
      <x:c r="F22" s="60" t="str">
        <x:v>观察事实或明确未知；不补写竞品SOP</x:v>
      </x:c>
      <x:c r="G22" s="60" t="str">
        <x:v>S31</x:v>
      </x:c>
    </x:row>
    <x:row r="23" ht="28" customHeight="1">
      <x:c r="A23" s="60" t="str">
        <x:v>E03</x:v>
      </x:c>
      <x:c r="B23" s="60" t="str">
        <x:v>伟事达中国</x:v>
      </x:c>
      <x:c r="C23" s="60" t="str">
        <x:v>068组马来西亚私董游学</x:v>
      </x:c>
      <x:c r="D23" s="60" t="str">
        <x:v>行前沟通</x:v>
      </x:c>
      <x:c r="E23" s="60" t="str">
        <x:v>未公开核实</x:v>
      </x:c>
      <x:c r="F23" s="60" t="str">
        <x:v>观察事实或明确未知；不补写竞品SOP</x:v>
      </x:c>
      <x:c r="G23" s="60" t="str">
        <x:v>S31</x:v>
      </x:c>
    </x:row>
    <x:row r="24" ht="28" customHeight="1">
      <x:c r="A24" s="60" t="str">
        <x:v>E03</x:v>
      </x:c>
      <x:c r="B24" s="60" t="str">
        <x:v>伟事达中国</x:v>
      </x:c>
      <x:c r="C24" s="60" t="str">
        <x:v>068组马来西亚私董游学</x:v>
      </x:c>
      <x:c r="D24" s="60" t="str">
        <x:v>签到入场</x:v>
      </x:c>
      <x:c r="E24" s="60" t="str">
        <x:v>未公开核实</x:v>
      </x:c>
      <x:c r="F24" s="60" t="str">
        <x:v>观察事实或明确未知；不补写竞品SOP</x:v>
      </x:c>
      <x:c r="G24" s="60" t="str">
        <x:v>S31</x:v>
      </x:c>
    </x:row>
    <x:row r="25" ht="28" customHeight="1">
      <x:c r="A25" s="60" t="str">
        <x:v>E03</x:v>
      </x:c>
      <x:c r="B25" s="60" t="str">
        <x:v>伟事达中国</x:v>
      </x:c>
      <x:c r="C25" s="60" t="str">
        <x:v>068组马来西亚私董游学</x:v>
      </x:c>
      <x:c r="D25" s="60" t="str">
        <x:v>破冰认识</x:v>
      </x:c>
      <x:c r="E25" s="60" t="str">
        <x:v>未公开核实</x:v>
      </x:c>
      <x:c r="F25" s="60" t="str">
        <x:v>观察事实或明确未知；不补写竞品SOP</x:v>
      </x:c>
      <x:c r="G25" s="60" t="str">
        <x:v>S31</x:v>
      </x:c>
    </x:row>
    <x:row r="26" ht="28" customHeight="1">
      <x:c r="A26" s="60" t="str">
        <x:v>E03</x:v>
      </x:c>
      <x:c r="B26" s="60" t="str">
        <x:v>伟事达中国</x:v>
      </x:c>
      <x:c r="C26" s="60" t="str">
        <x:v>068组马来西亚私董游学</x:v>
      </x:c>
      <x:c r="D26" s="60" t="str">
        <x:v>主体环节</x:v>
      </x:c>
      <x:c r="E26" s="60" t="str">
        <x:v>教练带队海外私董与游学</x:v>
      </x:c>
      <x:c r="F26" s="60" t="str">
        <x:v>观察事实或明确未知；不补写竞品SOP</x:v>
      </x:c>
      <x:c r="G26" s="60" t="str">
        <x:v>S31</x:v>
      </x:c>
    </x:row>
    <x:row r="27" ht="28" customHeight="1">
      <x:c r="A27" s="60" t="str">
        <x:v>E03</x:v>
      </x:c>
      <x:c r="B27" s="60" t="str">
        <x:v>伟事达中国</x:v>
      </x:c>
      <x:c r="C27" s="60" t="str">
        <x:v>068组马来西亚私董游学</x:v>
      </x:c>
      <x:c r="D27" s="60" t="str">
        <x:v>自由交流</x:v>
      </x:c>
      <x:c r="E27" s="60" t="str">
        <x:v>未公开核实</x:v>
      </x:c>
      <x:c r="F27" s="60" t="str">
        <x:v>观察事实或明确未知；不补写竞品SOP</x:v>
      </x:c>
      <x:c r="G27" s="60" t="str">
        <x:v>S31</x:v>
      </x:c>
    </x:row>
    <x:row r="28" ht="28" customHeight="1">
      <x:c r="A28" s="60" t="str">
        <x:v>E03</x:v>
      </x:c>
      <x:c r="B28" s="60" t="str">
        <x:v>伟事达中国</x:v>
      </x:c>
      <x:c r="C28" s="60" t="str">
        <x:v>068组马来西亚私董游学</x:v>
      </x:c>
      <x:c r="D28" s="60" t="str">
        <x:v>结束回访</x:v>
      </x:c>
      <x:c r="E28" s="60" t="str">
        <x:v>未公开核实</x:v>
      </x:c>
      <x:c r="F28" s="60" t="str">
        <x:v>观察事实或明确未知；不补写竞品SOP</x:v>
      </x:c>
      <x:c r="G28" s="60" t="str">
        <x:v>S31</x:v>
      </x:c>
    </x:row>
    <x:row r="29" ht="28" customHeight="1">
      <x:c r="A29" s="60" t="str">
        <x:v>E04</x:v>
      </x:c>
      <x:c r="B29" s="60" t="str">
        <x:v>伟事达中国</x:v>
      </x:c>
      <x:c r="C29" s="60" t="str">
        <x:v>GEIA GBA同期私董会</x:v>
      </x:c>
      <x:c r="D29" s="60" t="str">
        <x:v>活动设计</x:v>
      </x:c>
      <x:c r="E29" s="60" t="str">
        <x:v>9月9—11日大会同期私董会</x:v>
      </x:c>
      <x:c r="F29" s="60" t="str">
        <x:v>观察事实或明确未知；不补写竞品SOP</x:v>
      </x:c>
      <x:c r="G29" s="60" t="str">
        <x:v>S32</x:v>
      </x:c>
    </x:row>
    <x:row r="30" ht="28" customHeight="1">
      <x:c r="A30" s="60" t="str">
        <x:v>E04</x:v>
      </x:c>
      <x:c r="B30" s="60" t="str">
        <x:v>伟事达中国</x:v>
      </x:c>
      <x:c r="C30" s="60" t="str">
        <x:v>GEIA GBA同期私董会</x:v>
      </x:c>
      <x:c r="D30" s="60" t="str">
        <x:v>招募筛选</x:v>
      </x:c>
      <x:c r="E30" s="60" t="str">
        <x:v>未公开核实</x:v>
      </x:c>
      <x:c r="F30" s="60" t="str">
        <x:v>观察事实或明确未知；不补写竞品SOP</x:v>
      </x:c>
      <x:c r="G30" s="60" t="str">
        <x:v>S32</x:v>
      </x:c>
    </x:row>
    <x:row r="31" ht="28" customHeight="1">
      <x:c r="A31" s="60" t="str">
        <x:v>E04</x:v>
      </x:c>
      <x:c r="B31" s="60" t="str">
        <x:v>伟事达中国</x:v>
      </x:c>
      <x:c r="C31" s="60" t="str">
        <x:v>GEIA GBA同期私董会</x:v>
      </x:c>
      <x:c r="D31" s="60" t="str">
        <x:v>行前沟通</x:v>
      </x:c>
      <x:c r="E31" s="60" t="str">
        <x:v>未公开核实</x:v>
      </x:c>
      <x:c r="F31" s="60" t="str">
        <x:v>观察事实或明确未知；不补写竞品SOP</x:v>
      </x:c>
      <x:c r="G31" s="60" t="str">
        <x:v>S32</x:v>
      </x:c>
    </x:row>
    <x:row r="32" ht="28" customHeight="1">
      <x:c r="A32" s="60" t="str">
        <x:v>E04</x:v>
      </x:c>
      <x:c r="B32" s="60" t="str">
        <x:v>伟事达中国</x:v>
      </x:c>
      <x:c r="C32" s="60" t="str">
        <x:v>GEIA GBA同期私董会</x:v>
      </x:c>
      <x:c r="D32" s="60" t="str">
        <x:v>签到入场</x:v>
      </x:c>
      <x:c r="E32" s="60" t="str">
        <x:v>未公开核实</x:v>
      </x:c>
      <x:c r="F32" s="60" t="str">
        <x:v>观察事实或明确未知；不补写竞品SOP</x:v>
      </x:c>
      <x:c r="G32" s="60" t="str">
        <x:v>S32</x:v>
      </x:c>
    </x:row>
    <x:row r="33" ht="28" customHeight="1">
      <x:c r="A33" s="60" t="str">
        <x:v>E04</x:v>
      </x:c>
      <x:c r="B33" s="60" t="str">
        <x:v>伟事达中国</x:v>
      </x:c>
      <x:c r="C33" s="60" t="str">
        <x:v>GEIA GBA同期私董会</x:v>
      </x:c>
      <x:c r="D33" s="60" t="str">
        <x:v>破冰认识</x:v>
      </x:c>
      <x:c r="E33" s="60" t="str">
        <x:v>未公开核实</x:v>
      </x:c>
      <x:c r="F33" s="60" t="str">
        <x:v>观察事实或明确未知；不补写竞品SOP</x:v>
      </x:c>
      <x:c r="G33" s="60" t="str">
        <x:v>S32</x:v>
      </x:c>
    </x:row>
    <x:row r="34" ht="28" customHeight="1">
      <x:c r="A34" s="60" t="str">
        <x:v>E04</x:v>
      </x:c>
      <x:c r="B34" s="60" t="str">
        <x:v>伟事达中国</x:v>
      </x:c>
      <x:c r="C34" s="60" t="str">
        <x:v>GEIA GBA同期私董会</x:v>
      </x:c>
      <x:c r="D34" s="60" t="str">
        <x:v>主体环节</x:v>
      </x:c>
      <x:c r="E34" s="60" t="str">
        <x:v>主办方回顾列入同期活动，分场细节未知</x:v>
      </x:c>
      <x:c r="F34" s="60" t="str">
        <x:v>观察事实或明确未知；不补写竞品SOP</x:v>
      </x:c>
      <x:c r="G34" s="60" t="str">
        <x:v>S32</x:v>
      </x:c>
    </x:row>
    <x:row r="35" ht="28" customHeight="1">
      <x:c r="A35" s="60" t="str">
        <x:v>E04</x:v>
      </x:c>
      <x:c r="B35" s="60" t="str">
        <x:v>伟事达中国</x:v>
      </x:c>
      <x:c r="C35" s="60" t="str">
        <x:v>GEIA GBA同期私董会</x:v>
      </x:c>
      <x:c r="D35" s="60" t="str">
        <x:v>自由交流</x:v>
      </x:c>
      <x:c r="E35" s="60" t="str">
        <x:v>未公开核实</x:v>
      </x:c>
      <x:c r="F35" s="60" t="str">
        <x:v>观察事实或明确未知；不补写竞品SOP</x:v>
      </x:c>
      <x:c r="G35" s="60" t="str">
        <x:v>S32</x:v>
      </x:c>
    </x:row>
    <x:row r="36" ht="28" customHeight="1">
      <x:c r="A36" s="60" t="str">
        <x:v>E04</x:v>
      </x:c>
      <x:c r="B36" s="60" t="str">
        <x:v>伟事达中国</x:v>
      </x:c>
      <x:c r="C36" s="60" t="str">
        <x:v>GEIA GBA同期私董会</x:v>
      </x:c>
      <x:c r="D36" s="60" t="str">
        <x:v>结束回访</x:v>
      </x:c>
      <x:c r="E36" s="60" t="str">
        <x:v>未公开核实</x:v>
      </x:c>
      <x:c r="F36" s="60" t="str">
        <x:v>观察事实或明确未知；不补写竞品SOP</x:v>
      </x:c>
      <x:c r="G36" s="60" t="str">
        <x:v>S32</x:v>
      </x:c>
    </x:row>
    <x:row r="37" ht="36" customHeight="1">
      <x:c r="A37" s="60" t="str">
        <x:v>E05</x:v>
      </x:c>
      <x:c r="B37" s="60" t="str">
        <x:v>耀悦</x:v>
      </x:c>
      <x:c r="C37" s="60" t="str">
        <x:v>南澳探索鎏金双境</x:v>
      </x:c>
      <x:c r="D37" s="60" t="str">
        <x:v>活动设计</x:v>
      </x:c>
      <x:c r="E37" s="60" t="str">
        <x:v>南澳探索鎏金双境 11天 报价49500元/人；费用包含待核</x:v>
      </x:c>
      <x:c r="F37" s="60" t="str">
        <x:v>品牌产品设计，非实际体验；不补造SOP</x:v>
      </x:c>
      <x:c r="G37" s="60" t="str">
        <x:v>X03-09</x:v>
      </x:c>
    </x:row>
    <x:row r="38" ht="28" customHeight="1">
      <x:c r="A38" s="60" t="str">
        <x:v>E05</x:v>
      </x:c>
      <x:c r="B38" s="60" t="str">
        <x:v>耀悦</x:v>
      </x:c>
      <x:c r="C38" s="60" t="str">
        <x:v>南澳探索鎏金双境</x:v>
      </x:c>
      <x:c r="D38" s="60" t="str">
        <x:v>招募筛选</x:v>
      </x:c>
      <x:c r="E38" s="60" t="str">
        <x:v>未公开核实</x:v>
      </x:c>
      <x:c r="F38" s="60" t="str">
        <x:v>品牌产品设计，非实际体验；不补造SOP</x:v>
      </x:c>
      <x:c r="G38" s="60" t="str">
        <x:v>X03-09</x:v>
      </x:c>
    </x:row>
    <x:row r="39" ht="28" customHeight="1">
      <x:c r="A39" s="60" t="str">
        <x:v>E05</x:v>
      </x:c>
      <x:c r="B39" s="60" t="str">
        <x:v>耀悦</x:v>
      </x:c>
      <x:c r="C39" s="60" t="str">
        <x:v>南澳探索鎏金双境</x:v>
      </x:c>
      <x:c r="D39" s="60" t="str">
        <x:v>行前沟通</x:v>
      </x:c>
      <x:c r="E39" s="60" t="str">
        <x:v>未公开核实</x:v>
      </x:c>
      <x:c r="F39" s="60" t="str">
        <x:v>品牌产品设计，非实际体验；不补造SOP</x:v>
      </x:c>
      <x:c r="G39" s="60" t="str">
        <x:v>X03-09</x:v>
      </x:c>
    </x:row>
    <x:row r="40" ht="28" customHeight="1">
      <x:c r="A40" s="60" t="str">
        <x:v>E05</x:v>
      </x:c>
      <x:c r="B40" s="60" t="str">
        <x:v>耀悦</x:v>
      </x:c>
      <x:c r="C40" s="60" t="str">
        <x:v>南澳探索鎏金双境</x:v>
      </x:c>
      <x:c r="D40" s="60" t="str">
        <x:v>签到入场</x:v>
      </x:c>
      <x:c r="E40" s="60" t="str">
        <x:v>未公开核实</x:v>
      </x:c>
      <x:c r="F40" s="60" t="str">
        <x:v>品牌产品设计，非实际体验；不补造SOP</x:v>
      </x:c>
      <x:c r="G40" s="60" t="str">
        <x:v>X03-09</x:v>
      </x:c>
    </x:row>
    <x:row r="41" ht="28" customHeight="1">
      <x:c r="A41" s="60" t="str">
        <x:v>E05</x:v>
      </x:c>
      <x:c r="B41" s="60" t="str">
        <x:v>耀悦</x:v>
      </x:c>
      <x:c r="C41" s="60" t="str">
        <x:v>南澳探索鎏金双境</x:v>
      </x:c>
      <x:c r="D41" s="60" t="str">
        <x:v>破冰认识</x:v>
      </x:c>
      <x:c r="E41" s="60" t="str">
        <x:v>未公开核实</x:v>
      </x:c>
      <x:c r="F41" s="60" t="str">
        <x:v>品牌产品设计，非实际体验；不补造SOP</x:v>
      </x:c>
      <x:c r="G41" s="60" t="str">
        <x:v>X03-09</x:v>
      </x:c>
    </x:row>
    <x:row r="42" ht="36" customHeight="1">
      <x:c r="A42" s="60" t="str">
        <x:v>E05</x:v>
      </x:c>
      <x:c r="B42" s="60" t="str">
        <x:v>耀悦</x:v>
      </x:c>
      <x:c r="C42" s="60" t="str">
        <x:v>南澳探索鎏金双境</x:v>
      </x:c>
      <x:c r="D42" s="60" t="str">
        <x:v>主体环节</x:v>
      </x:c>
      <x:c r="E42" s="60" t="str">
        <x:v>1—4日墨尔本；5日列车；6—7日阿德；8—9日营地；10日自由；11日返程</x:v>
      </x:c>
      <x:c r="F42" s="60" t="str">
        <x:v>品牌产品设计，非实际体验；不补造SOP</x:v>
      </x:c>
      <x:c r="G42" s="60" t="str">
        <x:v>X03-09</x:v>
      </x:c>
    </x:row>
    <x:row r="43" ht="28" customHeight="1">
      <x:c r="A43" s="60" t="str">
        <x:v>E05</x:v>
      </x:c>
      <x:c r="B43" s="60" t="str">
        <x:v>耀悦</x:v>
      </x:c>
      <x:c r="C43" s="60" t="str">
        <x:v>南澳探索鎏金双境</x:v>
      </x:c>
      <x:c r="D43" s="60" t="str">
        <x:v>自由交流</x:v>
      </x:c>
      <x:c r="E43" s="60" t="str">
        <x:v>未公开核实</x:v>
      </x:c>
      <x:c r="F43" s="60" t="str">
        <x:v>品牌产品设计，非实际体验；不补造SOP</x:v>
      </x:c>
      <x:c r="G43" s="60" t="str">
        <x:v>X03-09</x:v>
      </x:c>
    </x:row>
    <x:row r="44" ht="28" customHeight="1">
      <x:c r="A44" s="60" t="str">
        <x:v>E05</x:v>
      </x:c>
      <x:c r="B44" s="60" t="str">
        <x:v>耀悦</x:v>
      </x:c>
      <x:c r="C44" s="60" t="str">
        <x:v>南澳探索鎏金双境</x:v>
      </x:c>
      <x:c r="D44" s="60" t="str">
        <x:v>结束回访</x:v>
      </x:c>
      <x:c r="E44" s="60" t="str">
        <x:v>未公开核实</x:v>
      </x:c>
      <x:c r="F44" s="60" t="str">
        <x:v>品牌产品设计，非实际体验；不补造SOP</x:v>
      </x:c>
      <x:c r="G44" s="60" t="str">
        <x:v>X03-09</x:v>
      </x:c>
    </x:row>
    <x:row r="45" ht="36" customHeight="1">
      <x:c r="A45" s="60" t="str">
        <x:v>E06</x:v>
      </x:c>
      <x:c r="B45" s="60" t="str">
        <x:v>耀悦</x:v>
      </x:c>
      <x:c r="C45" s="60" t="str">
        <x:v>A21南极海空联航</x:v>
      </x:c>
      <x:c r="D45" s="60" t="str">
        <x:v>活动设计</x:v>
      </x:c>
      <x:c r="E45" s="60" t="str">
        <x:v>A21南极海空联航 8天 报价119000元/人；费用包含待核</x:v>
      </x:c>
      <x:c r="F45" s="60" t="str">
        <x:v>品牌产品设计，非实际体验；不补造SOP</x:v>
      </x:c>
      <x:c r="G45" s="60" t="str">
        <x:v>X03-03</x:v>
      </x:c>
    </x:row>
    <x:row r="46" ht="28" customHeight="1">
      <x:c r="A46" s="60" t="str">
        <x:v>E06</x:v>
      </x:c>
      <x:c r="B46" s="60" t="str">
        <x:v>耀悦</x:v>
      </x:c>
      <x:c r="C46" s="60" t="str">
        <x:v>A21南极海空联航</x:v>
      </x:c>
      <x:c r="D46" s="60" t="str">
        <x:v>招募筛选</x:v>
      </x:c>
      <x:c r="E46" s="60" t="str">
        <x:v>未公开核实</x:v>
      </x:c>
      <x:c r="F46" s="60" t="str">
        <x:v>品牌产品设计，非实际体验；不补造SOP</x:v>
      </x:c>
      <x:c r="G46" s="60" t="str">
        <x:v>X03-03</x:v>
      </x:c>
    </x:row>
    <x:row r="47" ht="28" customHeight="1">
      <x:c r="A47" s="60" t="str">
        <x:v>E06</x:v>
      </x:c>
      <x:c r="B47" s="60" t="str">
        <x:v>耀悦</x:v>
      </x:c>
      <x:c r="C47" s="60" t="str">
        <x:v>A21南极海空联航</x:v>
      </x:c>
      <x:c r="D47" s="60" t="str">
        <x:v>行前沟通</x:v>
      </x:c>
      <x:c r="E47" s="60" t="str">
        <x:v>未公开核实</x:v>
      </x:c>
      <x:c r="F47" s="60" t="str">
        <x:v>品牌产品设计，非实际体验；不补造SOP</x:v>
      </x:c>
      <x:c r="G47" s="60" t="str">
        <x:v>X03-03</x:v>
      </x:c>
    </x:row>
    <x:row r="48" ht="28" customHeight="1">
      <x:c r="A48" s="60" t="str">
        <x:v>E06</x:v>
      </x:c>
      <x:c r="B48" s="60" t="str">
        <x:v>耀悦</x:v>
      </x:c>
      <x:c r="C48" s="60" t="str">
        <x:v>A21南极海空联航</x:v>
      </x:c>
      <x:c r="D48" s="60" t="str">
        <x:v>签到入场</x:v>
      </x:c>
      <x:c r="E48" s="60" t="str">
        <x:v>未公开核实</x:v>
      </x:c>
      <x:c r="F48" s="60" t="str">
        <x:v>品牌产品设计，非实际体验；不补造SOP</x:v>
      </x:c>
      <x:c r="G48" s="60" t="str">
        <x:v>X03-03</x:v>
      </x:c>
    </x:row>
    <x:row r="49" ht="28" customHeight="1">
      <x:c r="A49" s="60" t="str">
        <x:v>E06</x:v>
      </x:c>
      <x:c r="B49" s="60" t="str">
        <x:v>耀悦</x:v>
      </x:c>
      <x:c r="C49" s="60" t="str">
        <x:v>A21南极海空联航</x:v>
      </x:c>
      <x:c r="D49" s="60" t="str">
        <x:v>破冰认识</x:v>
      </x:c>
      <x:c r="E49" s="60" t="str">
        <x:v>未公开核实</x:v>
      </x:c>
      <x:c r="F49" s="60" t="str">
        <x:v>品牌产品设计，非实际体验；不补造SOP</x:v>
      </x:c>
      <x:c r="G49" s="60" t="str">
        <x:v>X03-03</x:v>
      </x:c>
    </x:row>
    <x:row r="50" ht="28" customHeight="1">
      <x:c r="A50" s="60" t="str">
        <x:v>E06</x:v>
      </x:c>
      <x:c r="B50" s="60" t="str">
        <x:v>耀悦</x:v>
      </x:c>
      <x:c r="C50" s="60" t="str">
        <x:v>A21南极海空联航</x:v>
      </x:c>
      <x:c r="D50" s="60" t="str">
        <x:v>主体环节</x:v>
      </x:c>
      <x:c r="E50" s="60" t="str">
        <x:v>以飞机串联南极半岛与邮轮；详细日程和集合待核</x:v>
      </x:c>
      <x:c r="F50" s="60" t="str">
        <x:v>品牌产品设计，非实际体验；不补造SOP</x:v>
      </x:c>
      <x:c r="G50" s="60" t="str">
        <x:v>X03-03</x:v>
      </x:c>
    </x:row>
    <x:row r="51" ht="28" customHeight="1">
      <x:c r="A51" s="60" t="str">
        <x:v>E06</x:v>
      </x:c>
      <x:c r="B51" s="60" t="str">
        <x:v>耀悦</x:v>
      </x:c>
      <x:c r="C51" s="60" t="str">
        <x:v>A21南极海空联航</x:v>
      </x:c>
      <x:c r="D51" s="60" t="str">
        <x:v>自由交流</x:v>
      </x:c>
      <x:c r="E51" s="60" t="str">
        <x:v>未公开核实</x:v>
      </x:c>
      <x:c r="F51" s="60" t="str">
        <x:v>品牌产品设计，非实际体验；不补造SOP</x:v>
      </x:c>
      <x:c r="G51" s="60" t="str">
        <x:v>X03-03</x:v>
      </x:c>
    </x:row>
    <x:row r="52" ht="28" customHeight="1">
      <x:c r="A52" s="60" t="str">
        <x:v>E06</x:v>
      </x:c>
      <x:c r="B52" s="60" t="str">
        <x:v>耀悦</x:v>
      </x:c>
      <x:c r="C52" s="60" t="str">
        <x:v>A21南极海空联航</x:v>
      </x:c>
      <x:c r="D52" s="60" t="str">
        <x:v>结束回访</x:v>
      </x:c>
      <x:c r="E52" s="60" t="str">
        <x:v>未公开核实</x:v>
      </x:c>
      <x:c r="F52" s="60" t="str">
        <x:v>品牌产品设计，非实际体验；不补造SOP</x:v>
      </x:c>
      <x:c r="G52" s="60" t="str">
        <x:v>X03-03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8239d37ee0f4dff"/>
  </x:tableParts>
</x:worksheet>
</file>

<file path=xl/worksheets/sheet10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50" hidden="0" customWidth="1"/>
    <x:col min="4" max="4" width="50" hidden="0" customWidth="1"/>
    <x:col min="5" max="5" width="35" hidden="0" customWidth="1"/>
  </x:cols>
  <x:sheetData>
    <x:row r="1" ht="30" customHeight="1">
      <x:c r="A1" s="53" t="str">
        <x:v>用户与活跃</x:v>
      </x:c>
      <x:c r="B1" s="53"/>
      <x:c r="C1" s="53"/>
      <x:c r="D1" s="53"/>
      <x:c r="E1" s="53"/>
    </x:row>
    <x:row r="2" ht="32" customHeight="1">
      <x:c r="A2" s="54" t="str">
        <x:v>采集截止 2026-10-21　|　粉丝、人数、人次和会员分开；不从集团投资损益反推品牌利润</x:v>
      </x:c>
      <x:c r="B2" s="54"/>
      <x:c r="C2" s="54"/>
      <x:c r="D2" s="54"/>
      <x:c r="E2" s="54"/>
    </x:row>
    <x:row r="3" ht="8" customHeight="1">
      <x:c r="A3" s="50"/>
      <x:c r="B3" s="50"/>
      <x:c r="C3" s="50"/>
      <x:c r="D3" s="50"/>
      <x:c r="E3" s="50"/>
    </x:row>
    <x:row r="4" ht="30" customHeight="1">
      <x:c r="A4" s="59" t="str">
        <x:v>机构</x:v>
      </x:c>
      <x:c r="B4" s="59" t="str">
        <x:v>指标</x:v>
      </x:c>
      <x:c r="C4" s="59" t="str">
        <x:v>观察值或未知</x:v>
      </x:c>
      <x:c r="D4" s="59" t="str">
        <x:v>定义与证据限制</x:v>
      </x:c>
      <x:c r="E4" s="59" t="str">
        <x:v>源ID</x:v>
      </x:c>
    </x:row>
    <x:row r="5" ht="28" customHeight="1">
      <x:c r="A5" s="60" t="str">
        <x:v>京城俱乐部</x:v>
      </x:c>
      <x:c r="B5" s="60" t="str">
        <x:v>粉丝数</x:v>
      </x:c>
      <x:c r="C5" s="60" t="str">
        <x:v>未公开核实</x:v>
      </x:c>
      <x:c r="D5" s="60" t="str">
        <x:v>缺同口径分母或完整观察序列；不记零</x:v>
      </x:c>
      <x:c r="E5" s="60" t="str">
        <x:v>S22 S23 S24 S26 S27</x:v>
      </x:c>
    </x:row>
    <x:row r="6" ht="28" customHeight="1">
      <x:c r="A6" s="60" t="str">
        <x:v>京城俱乐部</x:v>
      </x:c>
      <x:c r="B6" s="60" t="str">
        <x:v>社群人数</x:v>
      </x:c>
      <x:c r="C6" s="60" t="str">
        <x:v>未公开核实</x:v>
      </x:c>
      <x:c r="D6" s="60" t="str">
        <x:v>缺同口径分母或完整观察序列；不记零</x:v>
      </x:c>
      <x:c r="E6" s="60" t="str">
        <x:v>S22 S23 S24 S26 S27</x:v>
      </x:c>
    </x:row>
    <x:row r="7" ht="28" customHeight="1">
      <x:c r="A7" s="60" t="str">
        <x:v>京城俱乐部</x:v>
      </x:c>
      <x:c r="B7" s="60" t="str">
        <x:v>累计服务人数</x:v>
      </x:c>
      <x:c r="C7" s="60" t="str">
        <x:v>未公开核实</x:v>
      </x:c>
      <x:c r="D7" s="60" t="str">
        <x:v>缺同口径分母或完整观察序列；不记零</x:v>
      </x:c>
      <x:c r="E7" s="60" t="str">
        <x:v>S22 S23 S24 S26 S27</x:v>
      </x:c>
    </x:row>
    <x:row r="8" ht="28" customHeight="1">
      <x:c r="A8" s="60" t="str">
        <x:v>京城俱乐部</x:v>
      </x:c>
      <x:c r="B8" s="60" t="str">
        <x:v>有效付费会员</x:v>
      </x:c>
      <x:c r="C8" s="60" t="str">
        <x:v>未公开核实</x:v>
      </x:c>
      <x:c r="D8" s="60" t="str">
        <x:v>缺同口径分母或完整观察序列；不记零</x:v>
      </x:c>
      <x:c r="E8" s="60" t="str">
        <x:v>S22 S23 S24 S26 S27</x:v>
      </x:c>
    </x:row>
    <x:row r="9" ht="28" customHeight="1">
      <x:c r="A9" s="60" t="str">
        <x:v>京城俱乐部</x:v>
      </x:c>
      <x:c r="B9" s="60" t="str">
        <x:v>近90天实际活动数</x:v>
      </x:c>
      <x:c r="C9" s="60" t="str">
        <x:v>未公开核实</x:v>
      </x:c>
      <x:c r="D9" s="60" t="str">
        <x:v>缺同口径分母或完整观察序列；不记零</x:v>
      </x:c>
      <x:c r="E9" s="60" t="str">
        <x:v>S22 S23 S24 S26 S27</x:v>
      </x:c>
    </x:row>
    <x:row r="10" ht="28" customHeight="1">
      <x:c r="A10" s="60" t="str">
        <x:v>京城俱乐部</x:v>
      </x:c>
      <x:c r="B10" s="60" t="str">
        <x:v>近12月实际活动数</x:v>
      </x:c>
      <x:c r="C10" s="60" t="str">
        <x:v>未公开核实</x:v>
      </x:c>
      <x:c r="D10" s="60" t="str">
        <x:v>缺同口径分母或完整观察序列；不记零</x:v>
      </x:c>
      <x:c r="E10" s="60" t="str">
        <x:v>S22 S23 S24 S26 S27</x:v>
      </x:c>
    </x:row>
    <x:row r="11" ht="28" customHeight="1">
      <x:c r="A11" s="60" t="str">
        <x:v>京城俱乐部</x:v>
      </x:c>
      <x:c r="B11" s="60" t="str">
        <x:v>实际到场人数</x:v>
      </x:c>
      <x:c r="C11" s="60" t="str">
        <x:v>2026-02-06回顾称百余人</x:v>
      </x:c>
      <x:c r="D11" s="60" t="str">
        <x:v>混合嘉宾与会员，单场转载</x:v>
      </x:c>
      <x:c r="E11" s="60" t="str">
        <x:v>S22 S23 S24 S26 S27</x:v>
      </x:c>
    </x:row>
    <x:row r="12" ht="28" customHeight="1">
      <x:c r="A12" s="60" t="str">
        <x:v>京城俱乐部</x:v>
      </x:c>
      <x:c r="B12" s="60" t="str">
        <x:v>重复参与率</x:v>
      </x:c>
      <x:c r="C12" s="60" t="str">
        <x:v>未公开核实</x:v>
      </x:c>
      <x:c r="D12" s="60" t="str">
        <x:v>缺同口径分母或完整观察序列；不记零</x:v>
      </x:c>
      <x:c r="E12" s="60" t="str">
        <x:v>S22 S23 S24 S26 S27</x:v>
      </x:c>
    </x:row>
    <x:row r="13" ht="28" customHeight="1">
      <x:c r="A13" s="60" t="str">
        <x:v>京城俱乐部</x:v>
      </x:c>
      <x:c r="B13" s="60" t="str">
        <x:v>活跃会员率</x:v>
      </x:c>
      <x:c r="C13" s="60" t="str">
        <x:v>未公开核实</x:v>
      </x:c>
      <x:c r="D13" s="60" t="str">
        <x:v>缺同口径分母或完整观察序列；不记零</x:v>
      </x:c>
      <x:c r="E13" s="60" t="str">
        <x:v>S22 S23 S24 S26 S27</x:v>
      </x:c>
    </x:row>
    <x:row r="14" ht="28" customHeight="1">
      <x:c r="A14" s="60" t="str">
        <x:v>京城俱乐部</x:v>
      </x:c>
      <x:c r="B14" s="60" t="str">
        <x:v>续费率</x:v>
      </x:c>
      <x:c r="C14" s="60" t="str">
        <x:v>未公开核实</x:v>
      </x:c>
      <x:c r="D14" s="60" t="str">
        <x:v>缺同口径分母或完整观察序列；不记零</x:v>
      </x:c>
      <x:c r="E14" s="60" t="str">
        <x:v>S22 S23 S24 S26 S27</x:v>
      </x:c>
    </x:row>
    <x:row r="15" ht="28" customHeight="1">
      <x:c r="A15" s="60" t="str">
        <x:v>京城俱乐部</x:v>
      </x:c>
      <x:c r="B15" s="60" t="str">
        <x:v>转介绍成交率</x:v>
      </x:c>
      <x:c r="C15" s="60" t="str">
        <x:v>未公开核实</x:v>
      </x:c>
      <x:c r="D15" s="60" t="str">
        <x:v>缺同口径分母或完整观察序列；不记零</x:v>
      </x:c>
      <x:c r="E15" s="60" t="str">
        <x:v>S22 S23 S24 S26 S27</x:v>
      </x:c>
    </x:row>
    <x:row r="16" ht="28" customHeight="1">
      <x:c r="A16" s="60" t="str">
        <x:v>京城俱乐部</x:v>
      </x:c>
      <x:c r="B16" s="60" t="str">
        <x:v>品牌营业收入</x:v>
      </x:c>
      <x:c r="C16" s="60" t="str">
        <x:v>未公开核实</x:v>
      </x:c>
      <x:c r="D16" s="60" t="str">
        <x:v>缺同口径分母或完整观察序列；不记零</x:v>
      </x:c>
      <x:c r="E16" s="60" t="str">
        <x:v>S22 S23 S24 S26 S27</x:v>
      </x:c>
    </x:row>
    <x:row r="17" ht="28" customHeight="1">
      <x:c r="A17" s="60" t="str">
        <x:v>京城俱乐部</x:v>
      </x:c>
      <x:c r="B17" s="60" t="str">
        <x:v>品牌利润</x:v>
      </x:c>
      <x:c r="C17" s="60" t="str">
        <x:v>未公开核实</x:v>
      </x:c>
      <x:c r="D17" s="60" t="str">
        <x:v>缺同口径分母或完整观察序列；不记零</x:v>
      </x:c>
      <x:c r="E17" s="60" t="str">
        <x:v>S22 S23 S24 S26 S27</x:v>
      </x:c>
    </x:row>
    <x:row r="18" ht="28" customHeight="1">
      <x:c r="A18" s="60" t="str">
        <x:v>伟事达中国</x:v>
      </x:c>
      <x:c r="B18" s="60" t="str">
        <x:v>粉丝数</x:v>
      </x:c>
      <x:c r="C18" s="60" t="str">
        <x:v>未公开核实</x:v>
      </x:c>
      <x:c r="D18" s="60" t="str">
        <x:v>缺同口径分母或完整观察序列；不记零</x:v>
      </x:c>
      <x:c r="E18" s="60" t="str">
        <x:v>S28 S29 S30 S31 S32</x:v>
      </x:c>
    </x:row>
    <x:row r="19" ht="28" customHeight="1">
      <x:c r="A19" s="60" t="str">
        <x:v>伟事达中国</x:v>
      </x:c>
      <x:c r="B19" s="60" t="str">
        <x:v>社群人数</x:v>
      </x:c>
      <x:c r="C19" s="60" t="str">
        <x:v>未公开核实</x:v>
      </x:c>
      <x:c r="D19" s="60" t="str">
        <x:v>缺同口径分母或完整观察序列；不记零</x:v>
      </x:c>
      <x:c r="E19" s="60" t="str">
        <x:v>S28 S29 S30 S31 S32</x:v>
      </x:c>
    </x:row>
    <x:row r="20" ht="28" customHeight="1">
      <x:c r="A20" s="60" t="str">
        <x:v>伟事达中国</x:v>
      </x:c>
      <x:c r="B20" s="60" t="str">
        <x:v>累计服务人数</x:v>
      </x:c>
      <x:c r="C20" s="60" t="str">
        <x:v>全球25万以上历史自述，非中国</x:v>
      </x:c>
      <x:c r="D20" s="60" t="str">
        <x:v>不作为中国有效会员</x:v>
      </x:c>
      <x:c r="E20" s="60" t="str">
        <x:v>S28 S29 S30 S31 S32</x:v>
      </x:c>
    </x:row>
    <x:row r="21" ht="28" customHeight="1">
      <x:c r="A21" s="60" t="str">
        <x:v>伟事达中国</x:v>
      </x:c>
      <x:c r="B21" s="60" t="str">
        <x:v>有效付费会员</x:v>
      </x:c>
      <x:c r="C21" s="60" t="str">
        <x:v>未公开核实</x:v>
      </x:c>
      <x:c r="D21" s="60" t="str">
        <x:v>缺同口径分母或完整观察序列；不记零</x:v>
      </x:c>
      <x:c r="E21" s="60" t="str">
        <x:v>S28 S29 S30 S31 S32</x:v>
      </x:c>
    </x:row>
    <x:row r="22" ht="28" customHeight="1">
      <x:c r="A22" s="60" t="str">
        <x:v>伟事达中国</x:v>
      </x:c>
      <x:c r="B22" s="60" t="str">
        <x:v>近90天实际活动数</x:v>
      </x:c>
      <x:c r="C22" s="60" t="str">
        <x:v>未公开核实</x:v>
      </x:c>
      <x:c r="D22" s="60" t="str">
        <x:v>缺同口径分母或完整观察序列；不记零</x:v>
      </x:c>
      <x:c r="E22" s="60" t="str">
        <x:v>S28 S29 S30 S31 S32</x:v>
      </x:c>
    </x:row>
    <x:row r="23" ht="28" customHeight="1">
      <x:c r="A23" s="60" t="str">
        <x:v>伟事达中国</x:v>
      </x:c>
      <x:c r="B23" s="60" t="str">
        <x:v>近12月实际活动数</x:v>
      </x:c>
      <x:c r="C23" s="60" t="str">
        <x:v>未公开核实</x:v>
      </x:c>
      <x:c r="D23" s="60" t="str">
        <x:v>缺同口径分母或完整观察序列；不记零</x:v>
      </x:c>
      <x:c r="E23" s="60" t="str">
        <x:v>S28 S29 S30 S31 S32</x:v>
      </x:c>
    </x:row>
    <x:row r="24" ht="28" customHeight="1">
      <x:c r="A24" s="60" t="str">
        <x:v>伟事达中国</x:v>
      </x:c>
      <x:c r="B24" s="60" t="str">
        <x:v>实际到场人数</x:v>
      </x:c>
      <x:c r="C24" s="60" t="str">
        <x:v>未公开核实</x:v>
      </x:c>
      <x:c r="D24" s="60" t="str">
        <x:v>缺同口径分母或完整观察序列；不记零</x:v>
      </x:c>
      <x:c r="E24" s="60" t="str">
        <x:v>S28 S29 S30 S31 S32</x:v>
      </x:c>
    </x:row>
    <x:row r="25" ht="28" customHeight="1">
      <x:c r="A25" s="60" t="str">
        <x:v>伟事达中国</x:v>
      </x:c>
      <x:c r="B25" s="60" t="str">
        <x:v>重复参与率</x:v>
      </x:c>
      <x:c r="C25" s="60" t="str">
        <x:v>未公开核实</x:v>
      </x:c>
      <x:c r="D25" s="60" t="str">
        <x:v>缺同口径分母或完整观察序列；不记零</x:v>
      </x:c>
      <x:c r="E25" s="60" t="str">
        <x:v>S28 S29 S30 S31 S32</x:v>
      </x:c>
    </x:row>
    <x:row r="26" ht="28" customHeight="1">
      <x:c r="A26" s="60" t="str">
        <x:v>伟事达中国</x:v>
      </x:c>
      <x:c r="B26" s="60" t="str">
        <x:v>活跃会员率</x:v>
      </x:c>
      <x:c r="C26" s="60" t="str">
        <x:v>未公开核实</x:v>
      </x:c>
      <x:c r="D26" s="60" t="str">
        <x:v>缺同口径分母或完整观察序列；不记零</x:v>
      </x:c>
      <x:c r="E26" s="60" t="str">
        <x:v>S28 S29 S30 S31 S32</x:v>
      </x:c>
    </x:row>
    <x:row r="27" ht="28" customHeight="1">
      <x:c r="A27" s="60" t="str">
        <x:v>伟事达中国</x:v>
      </x:c>
      <x:c r="B27" s="60" t="str">
        <x:v>续费率</x:v>
      </x:c>
      <x:c r="C27" s="60" t="str">
        <x:v>未公开核实</x:v>
      </x:c>
      <x:c r="D27" s="60" t="str">
        <x:v>缺同口径分母或完整观察序列；不记零</x:v>
      </x:c>
      <x:c r="E27" s="60" t="str">
        <x:v>S28 S29 S30 S31 S32</x:v>
      </x:c>
    </x:row>
    <x:row r="28" ht="28" customHeight="1">
      <x:c r="A28" s="60" t="str">
        <x:v>伟事达中国</x:v>
      </x:c>
      <x:c r="B28" s="60" t="str">
        <x:v>转介绍成交率</x:v>
      </x:c>
      <x:c r="C28" s="60" t="str">
        <x:v>未公开核实</x:v>
      </x:c>
      <x:c r="D28" s="60" t="str">
        <x:v>缺同口径分母或完整观察序列；不记零</x:v>
      </x:c>
      <x:c r="E28" s="60" t="str">
        <x:v>S28 S29 S30 S31 S32</x:v>
      </x:c>
    </x:row>
    <x:row r="29" ht="28" customHeight="1">
      <x:c r="A29" s="60" t="str">
        <x:v>伟事达中国</x:v>
      </x:c>
      <x:c r="B29" s="60" t="str">
        <x:v>品牌营业收入</x:v>
      </x:c>
      <x:c r="C29" s="60" t="str">
        <x:v>未公开核实</x:v>
      </x:c>
      <x:c r="D29" s="60" t="str">
        <x:v>缺同口径分母或完整观察序列；不记零</x:v>
      </x:c>
      <x:c r="E29" s="60" t="str">
        <x:v>S28 S29 S30 S31 S32</x:v>
      </x:c>
    </x:row>
    <x:row r="30" ht="28" customHeight="1">
      <x:c r="A30" s="60" t="str">
        <x:v>伟事达中国</x:v>
      </x:c>
      <x:c r="B30" s="60" t="str">
        <x:v>品牌利润</x:v>
      </x:c>
      <x:c r="C30" s="60" t="str">
        <x:v>未公开核实</x:v>
      </x:c>
      <x:c r="D30" s="60" t="str">
        <x:v>缺同口径分母或完整观察序列；不记零</x:v>
      </x:c>
      <x:c r="E30" s="60" t="str">
        <x:v>S28 S29 S30 S31 S32</x:v>
      </x:c>
    </x:row>
    <x:row r="31" ht="28" customHeight="1">
      <x:c r="A31" s="60" t="str">
        <x:v>耀悦</x:v>
      </x:c>
      <x:c r="B31" s="60" t="str">
        <x:v>粉丝数</x:v>
      </x:c>
      <x:c r="C31" s="60" t="str">
        <x:v>9507</x:v>
      </x:c>
      <x:c r="D31" s="60" t="str">
        <x:v>单一账号采集快照，非品牌去重粉丝和会员</x:v>
      </x:c>
      <x:c r="E31" s="60" t="str">
        <x:v>X03</x:v>
      </x:c>
    </x:row>
    <x:row r="32" ht="28" customHeight="1">
      <x:c r="A32" s="60" t="str">
        <x:v>耀悦</x:v>
      </x:c>
      <x:c r="B32" s="60" t="str">
        <x:v>社群人数</x:v>
      </x:c>
      <x:c r="C32" s="60" t="str">
        <x:v>未公开核实</x:v>
      </x:c>
      <x:c r="D32" s="60" t="str">
        <x:v>缺同口径分母或完整观察序列；不记零</x:v>
      </x:c>
      <x:c r="E32" s="60" t="str">
        <x:v>S33 S34 S35 S36</x:v>
      </x:c>
    </x:row>
    <x:row r="33" ht="28" customHeight="1">
      <x:c r="A33" s="60" t="str">
        <x:v>耀悦</x:v>
      </x:c>
      <x:c r="B33" s="60" t="str">
        <x:v>累计服务人数</x:v>
      </x:c>
      <x:c r="C33" s="60" t="str">
        <x:v>未公开核实</x:v>
      </x:c>
      <x:c r="D33" s="60" t="str">
        <x:v>缺同口径分母或完整观察序列；不记零</x:v>
      </x:c>
      <x:c r="E33" s="60" t="str">
        <x:v>S33 S34 S35 S36</x:v>
      </x:c>
    </x:row>
    <x:row r="34" ht="28" customHeight="1">
      <x:c r="A34" s="60" t="str">
        <x:v>耀悦</x:v>
      </x:c>
      <x:c r="B34" s="60" t="str">
        <x:v>有效付费会员</x:v>
      </x:c>
      <x:c r="C34" s="60" t="str">
        <x:v>未公开核实</x:v>
      </x:c>
      <x:c r="D34" s="60" t="str">
        <x:v>缺同口径分母或完整观察序列；不记零</x:v>
      </x:c>
      <x:c r="E34" s="60" t="str">
        <x:v>S33 S34 S35 S36</x:v>
      </x:c>
    </x:row>
    <x:row r="35" ht="28" customHeight="1">
      <x:c r="A35" s="60" t="str">
        <x:v>耀悦</x:v>
      </x:c>
      <x:c r="B35" s="60" t="str">
        <x:v>近90天实际活动数</x:v>
      </x:c>
      <x:c r="C35" s="60" t="str">
        <x:v>未公开核实</x:v>
      </x:c>
      <x:c r="D35" s="60" t="str">
        <x:v>缺同口径分母或完整观察序列；不记零</x:v>
      </x:c>
      <x:c r="E35" s="60" t="str">
        <x:v>S33 S34 S35 S36</x:v>
      </x:c>
    </x:row>
    <x:row r="36" ht="28" customHeight="1">
      <x:c r="A36" s="60" t="str">
        <x:v>耀悦</x:v>
      </x:c>
      <x:c r="B36" s="60" t="str">
        <x:v>近12月实际活动数</x:v>
      </x:c>
      <x:c r="C36" s="60" t="str">
        <x:v>未公开核实</x:v>
      </x:c>
      <x:c r="D36" s="60" t="str">
        <x:v>缺同口径分母或完整观察序列；不记零</x:v>
      </x:c>
      <x:c r="E36" s="60" t="str">
        <x:v>S33 S34 S35 S36</x:v>
      </x:c>
    </x:row>
    <x:row r="37" ht="28" customHeight="1">
      <x:c r="A37" s="60" t="str">
        <x:v>耀悦</x:v>
      </x:c>
      <x:c r="B37" s="60" t="str">
        <x:v>实际到场人数</x:v>
      </x:c>
      <x:c r="C37" s="60" t="str">
        <x:v>未公开核实</x:v>
      </x:c>
      <x:c r="D37" s="60" t="str">
        <x:v>缺同口径分母或完整观察序列；不记零</x:v>
      </x:c>
      <x:c r="E37" s="60" t="str">
        <x:v>S33 S34 S35 S36</x:v>
      </x:c>
    </x:row>
    <x:row r="38" ht="28" customHeight="1">
      <x:c r="A38" s="60" t="str">
        <x:v>耀悦</x:v>
      </x:c>
      <x:c r="B38" s="60" t="str">
        <x:v>重复参与率</x:v>
      </x:c>
      <x:c r="C38" s="60" t="str">
        <x:v>未公开核实</x:v>
      </x:c>
      <x:c r="D38" s="60" t="str">
        <x:v>缺同口径分母或完整观察序列；不记零</x:v>
      </x:c>
      <x:c r="E38" s="60" t="str">
        <x:v>S33 S34 S35 S36</x:v>
      </x:c>
    </x:row>
    <x:row r="39" ht="28" customHeight="1">
      <x:c r="A39" s="60" t="str">
        <x:v>耀悦</x:v>
      </x:c>
      <x:c r="B39" s="60" t="str">
        <x:v>活跃会员率</x:v>
      </x:c>
      <x:c r="C39" s="60" t="str">
        <x:v>未公开核实</x:v>
      </x:c>
      <x:c r="D39" s="60" t="str">
        <x:v>缺同口径分母或完整观察序列；不记零</x:v>
      </x:c>
      <x:c r="E39" s="60" t="str">
        <x:v>S33 S34 S35 S36</x:v>
      </x:c>
    </x:row>
    <x:row r="40" ht="28" customHeight="1">
      <x:c r="A40" s="60" t="str">
        <x:v>耀悦</x:v>
      </x:c>
      <x:c r="B40" s="60" t="str">
        <x:v>续费率</x:v>
      </x:c>
      <x:c r="C40" s="60" t="str">
        <x:v>未公开核实</x:v>
      </x:c>
      <x:c r="D40" s="60" t="str">
        <x:v>缺同口径分母或完整观察序列；不记零</x:v>
      </x:c>
      <x:c r="E40" s="60" t="str">
        <x:v>S33 S34 S35 S36</x:v>
      </x:c>
    </x:row>
    <x:row r="41" ht="28" customHeight="1">
      <x:c r="A41" s="60" t="str">
        <x:v>耀悦</x:v>
      </x:c>
      <x:c r="B41" s="60" t="str">
        <x:v>转介绍成交率</x:v>
      </x:c>
      <x:c r="C41" s="60" t="str">
        <x:v>未公开核实</x:v>
      </x:c>
      <x:c r="D41" s="60" t="str">
        <x:v>缺同口径分母或完整观察序列；不记零</x:v>
      </x:c>
      <x:c r="E41" s="60" t="str">
        <x:v>S33 S34 S35 S36</x:v>
      </x:c>
    </x:row>
    <x:row r="42" ht="28" customHeight="1">
      <x:c r="A42" s="60" t="str">
        <x:v>耀悦</x:v>
      </x:c>
      <x:c r="B42" s="60" t="str">
        <x:v>品牌营业收入</x:v>
      </x:c>
      <x:c r="C42" s="60" t="str">
        <x:v>未公开核实</x:v>
      </x:c>
      <x:c r="D42" s="60" t="str">
        <x:v>不从中青旅集团总额或股权投资损益反推品牌实绩</x:v>
      </x:c>
      <x:c r="E42" s="60" t="str">
        <x:v>S33 S34 S35 S36</x:v>
      </x:c>
    </x:row>
    <x:row r="43" ht="28" customHeight="1">
      <x:c r="A43" s="60" t="str">
        <x:v>耀悦</x:v>
      </x:c>
      <x:c r="B43" s="60" t="str">
        <x:v>品牌利润</x:v>
      </x:c>
      <x:c r="C43" s="60" t="str">
        <x:v>未公开核实</x:v>
      </x:c>
      <x:c r="D43" s="60" t="str">
        <x:v>不从中青旅集团总额或股权投资损益反推品牌实绩</x:v>
      </x:c>
      <x:c r="E43" s="60" t="str">
        <x:v>S33 S34 S35 S36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137cb0dfc3140c9"/>
  </x:tableParts>
</x:worksheet>
</file>

<file path=xl/worksheets/sheet11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50" hidden="0" customWidth="1"/>
    <x:col min="3" max="3" width="28" hidden="0" customWidth="1"/>
    <x:col min="4" max="4" width="16" hidden="0" customWidth="1"/>
    <x:col min="5" max="5" width="29" hidden="0" customWidth="1"/>
    <x:col min="6" max="6" width="17" hidden="0" customWidth="1"/>
    <x:col min="7" max="7" width="15" hidden="0" customWidth="1"/>
    <x:col min="8" max="8" width="15" hidden="0" customWidth="1"/>
    <x:col min="9" max="9" width="48" hidden="0" customWidth="1"/>
    <x:col min="10" max="10" width="46" hidden="0" customWidth="1"/>
    <x:col min="11" max="11" width="50" hidden="0" customWidth="1"/>
    <x:col min="12" max="12" width="19" hidden="0" customWidth="1"/>
    <x:col min="13" max="13" width="50" hidden="0" customWidth="1"/>
  </x:cols>
  <x:sheetData>
    <x:row r="1" ht="30" customHeight="1">
      <x:c r="A1" s="53" t="str">
        <x:v>内容样本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</x:row>
    <x:row r="2" ht="32" customHeight="1">
      <x:c r="A2" s="54" t="str">
        <x:v>采集截止 2026-10-21　|　55条记录不等于55篇合格内容；仅耀悦20条逐篇正文；空白互动为未取得而非零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 ht="30" customHeight="1">
      <x:c r="A4" s="59" t="str">
        <x:v>机构或检索词</x:v>
      </x:c>
      <x:c r="B4" s="59" t="str">
        <x:v>标题</x:v>
      </x:c>
      <x:c r="C4" s="59" t="str">
        <x:v>页面显示日期</x:v>
      </x:c>
      <x:c r="D4" s="59" t="str">
        <x:v>采集日</x:v>
      </x:c>
      <x:c r="E4" s="59" t="str">
        <x:v>采集深度</x:v>
      </x:c>
      <x:c r="F4" s="59" t="str">
        <x:v>可见互动值</x:v>
      </x:c>
      <x:c r="G4" s="59" t="str">
        <x:v>评论数</x:v>
      </x:c>
      <x:c r="H4" s="59" t="str">
        <x:v>收藏数</x:v>
      </x:c>
      <x:c r="I4" s="59" t="str">
        <x:v>商业标识</x:v>
      </x:c>
      <x:c r="J4" s="59" t="str">
        <x:v>主题或状态</x:v>
      </x:c>
      <x:c r="K4" s="59" t="str">
        <x:v>公开链接</x:v>
      </x:c>
      <x:c r="L4" s="59" t="str">
        <x:v>源ID</x:v>
      </x:c>
      <x:c r="M4" s="59" t="str">
        <x:v>样本限制</x:v>
      </x:c>
    </x:row>
    <x:row r="5" ht="36" customHeight="1">
      <x:c r="A5" s="60" t="str">
        <x:v>京城俱乐部</x:v>
      </x:c>
      <x:c r="B5" s="60" t="str">
        <x:v>京城俱乐部</x:v>
      </x:c>
      <x:c r="C5" s="60" t="str">
        <x:v>03-17</x:v>
      </x:c>
      <x:c r="D5" s="60" t="str">
        <x:v>2026-10-21</x:v>
      </x:c>
      <x:c r="E5" s="60" t="str">
        <x:v>搜索标题卡片</x:v>
      </x:c>
      <x:c r="F5" s="60" t="n">
        <x:v>109</x:v>
      </x:c>
      <x:c r="G5" s="60"/>
      <x:c r="H5" s="60"/>
      <x:c r="I5" s="60" t="str">
        <x:v>商业内容标识未核实</x:v>
      </x:c>
      <x:c r="J5" s="60" t="str">
        <x:v>标题观察 待核正文与主体</x:v>
      </x:c>
      <x:c r="K5" s="60" t="str">
        <x:v>https://www.xiaohongshu.com/search_result/698da4a0000000001d025bad</x:v>
      </x:c>
      <x:c r="L5" s="60" t="str">
        <x:v>X01</x:v>
      </x:c>
      <x:c r="M5" s="60" t="str">
        <x:v>非随机搜索样本；月日年份未明示，不推定真实客户身份</x:v>
      </x:c>
    </x:row>
    <x:row r="6" ht="36" customHeight="1">
      <x:c r="A6" s="60" t="str">
        <x:v>京城俱乐部</x:v>
      </x:c>
      <x:c r="B6" s="60" t="str">
        <x:v>牛仔裤勇闯京城俱乐部</x:v>
      </x:c>
      <x:c r="C6" s="60" t="str">
        <x:v>09-16</x:v>
      </x:c>
      <x:c r="D6" s="60" t="str">
        <x:v>2026-10-21</x:v>
      </x:c>
      <x:c r="E6" s="60" t="str">
        <x:v>搜索标题卡片</x:v>
      </x:c>
      <x:c r="F6" s="60" t="n">
        <x:v>3</x:v>
      </x:c>
      <x:c r="G6" s="60"/>
      <x:c r="H6" s="60"/>
      <x:c r="I6" s="60" t="str">
        <x:v>商业内容标识未核实</x:v>
      </x:c>
      <x:c r="J6" s="60" t="str">
        <x:v>标题观察 待核正文与主体</x:v>
      </x:c>
      <x:c r="K6" s="60" t="str">
        <x:v>https://www.xiaohongshu.com/search_result/6aaa08030000000012027663</x:v>
      </x:c>
      <x:c r="L6" s="60" t="str">
        <x:v>X01</x:v>
      </x:c>
      <x:c r="M6" s="60" t="str">
        <x:v>非随机搜索样本；月日年份未明示，不推定真实客户身份</x:v>
      </x:c>
    </x:row>
    <x:row r="7" ht="36" customHeight="1">
      <x:c r="A7" s="60" t="str">
        <x:v>京城俱乐部</x:v>
      </x:c>
      <x:c r="B7" s="60" t="str">
        <x:v>唐僧扮演者之妻陈丽华离世</x:v>
      </x:c>
      <x:c r="C7" s="60" t="str">
        <x:v>04-08</x:v>
      </x:c>
      <x:c r="D7" s="60" t="str">
        <x:v>2026-10-21</x:v>
      </x:c>
      <x:c r="E7" s="60" t="str">
        <x:v>搜索标题卡片</x:v>
      </x:c>
      <x:c r="F7" s="60" t="n">
        <x:v>7</x:v>
      </x:c>
      <x:c r="G7" s="60"/>
      <x:c r="H7" s="60"/>
      <x:c r="I7" s="60" t="str">
        <x:v>商业内容标识未核实</x:v>
      </x:c>
      <x:c r="J7" s="60" t="str">
        <x:v>排除 同名或无关</x:v>
      </x:c>
      <x:c r="K7" s="60" t="str">
        <x:v>https://www.xiaohongshu.com/search_result/69d5d15a000000001b0004c7</x:v>
      </x:c>
      <x:c r="L7" s="60" t="str">
        <x:v>X01</x:v>
      </x:c>
      <x:c r="M7" s="60" t="str">
        <x:v>非随机搜索样本；月日年份未明示，不推定真实客户身份</x:v>
      </x:c>
    </x:row>
    <x:row r="8" ht="36" customHeight="1">
      <x:c r="A8" s="60" t="str">
        <x:v>京城俱乐部</x:v>
      </x:c>
      <x:c r="B8" s="60" t="str">
        <x:v>京城俱乐部50层大使厅｜同频相聚</x:v>
      </x:c>
      <x:c r="C8" s="60" t="str">
        <x:v>06-25</x:v>
      </x:c>
      <x:c r="D8" s="60" t="str">
        <x:v>2026-10-21</x:v>
      </x:c>
      <x:c r="E8" s="60" t="str">
        <x:v>搜索标题卡片</x:v>
      </x:c>
      <x:c r="F8" s="60" t="n">
        <x:v>12</x:v>
      </x:c>
      <x:c r="G8" s="60"/>
      <x:c r="H8" s="60"/>
      <x:c r="I8" s="60" t="str">
        <x:v>商业内容标识未核实</x:v>
      </x:c>
      <x:c r="J8" s="60" t="str">
        <x:v>标题观察 待核正文与主体</x:v>
      </x:c>
      <x:c r="K8" s="60" t="str">
        <x:v>https://www.xiaohongshu.com/search_result/6a3ccd36000000001603e83c</x:v>
      </x:c>
      <x:c r="L8" s="60" t="str">
        <x:v>X01</x:v>
      </x:c>
      <x:c r="M8" s="60" t="str">
        <x:v>非随机搜索样本；月日年份未明示，不推定真实客户身份</x:v>
      </x:c>
    </x:row>
    <x:row r="9" ht="36" customHeight="1">
      <x:c r="A9" s="60" t="str">
        <x:v>京城俱乐部</x:v>
      </x:c>
      <x:c r="B9" s="60" t="str">
        <x:v>✨ 国内顶级社交圈Top 10</x:v>
      </x:c>
      <x:c r="C9" s="60" t="str">
        <x:v>01-17</x:v>
      </x:c>
      <x:c r="D9" s="60" t="str">
        <x:v>2026-10-21</x:v>
      </x:c>
      <x:c r="E9" s="60" t="str">
        <x:v>搜索标题卡片</x:v>
      </x:c>
      <x:c r="F9" s="60" t="n">
        <x:v>81</x:v>
      </x:c>
      <x:c r="G9" s="60"/>
      <x:c r="H9" s="60"/>
      <x:c r="I9" s="60" t="str">
        <x:v>商业内容标识未核实</x:v>
      </x:c>
      <x:c r="J9" s="60" t="str">
        <x:v>标题观察 待核正文与主体</x:v>
      </x:c>
      <x:c r="K9" s="60" t="str">
        <x:v>https://www.xiaohongshu.com/search_result/696af5900000000021029551</x:v>
      </x:c>
      <x:c r="L9" s="60" t="str">
        <x:v>X01</x:v>
      </x:c>
      <x:c r="M9" s="60" t="str">
        <x:v>非随机搜索样本；月日年份未明示，不推定真实客户身份</x:v>
      </x:c>
    </x:row>
    <x:row r="10" ht="36" customHeight="1">
      <x:c r="A10" s="60" t="str">
        <x:v>京城俱乐部</x:v>
      </x:c>
      <x:c r="B10" s="60" t="str">
        <x:v>52岁｜打卡中国顶流富人俱乐部✨</x:v>
      </x:c>
      <x:c r="C10" s="60" t="str">
        <x:v>03-29</x:v>
      </x:c>
      <x:c r="D10" s="60" t="str">
        <x:v>2026-10-21</x:v>
      </x:c>
      <x:c r="E10" s="60" t="str">
        <x:v>搜索标题卡片</x:v>
      </x:c>
      <x:c r="F10" s="60" t="n">
        <x:v>20</x:v>
      </x:c>
      <x:c r="G10" s="60"/>
      <x:c r="H10" s="60"/>
      <x:c r="I10" s="60" t="str">
        <x:v>商业内容标识未核实</x:v>
      </x:c>
      <x:c r="J10" s="60" t="str">
        <x:v>标题观察 待核正文与主体</x:v>
      </x:c>
      <x:c r="K10" s="60" t="str">
        <x:v>https://www.xiaohongshu.com/search_result/69c8a4c60000000022000a14</x:v>
      </x:c>
      <x:c r="L10" s="60" t="str">
        <x:v>X01</x:v>
      </x:c>
      <x:c r="M10" s="60" t="str">
        <x:v>非随机搜索样本；月日年份未明示，不推定真实客户身份</x:v>
      </x:c>
    </x:row>
    <x:row r="11" ht="36" customHeight="1">
      <x:c r="A11" s="60" t="str">
        <x:v>京城俱乐部</x:v>
      </x:c>
      <x:c r="B11" s="60" t="str">
        <x:v>有些故事只能发生在北京</x:v>
      </x:c>
      <x:c r="C11" s="60" t="str">
        <x:v>05-18</x:v>
      </x:c>
      <x:c r="D11" s="60" t="str">
        <x:v>2026-10-21</x:v>
      </x:c>
      <x:c r="E11" s="60" t="str">
        <x:v>搜索标题卡片</x:v>
      </x:c>
      <x:c r="F11" s="60" t="n">
        <x:v>4</x:v>
      </x:c>
      <x:c r="G11" s="60"/>
      <x:c r="H11" s="60"/>
      <x:c r="I11" s="60" t="str">
        <x:v>商业内容标识未核实</x:v>
      </x:c>
      <x:c r="J11" s="60" t="str">
        <x:v>标题观察 待核正文与主体</x:v>
      </x:c>
      <x:c r="K11" s="60" t="str">
        <x:v>https://www.xiaohongshu.com/search_result/6a0af3ba0000000006020031</x:v>
      </x:c>
      <x:c r="L11" s="60" t="str">
        <x:v>X01</x:v>
      </x:c>
      <x:c r="M11" s="60" t="str">
        <x:v>非随机搜索样本；月日年份未明示，不推定真实客户身份</x:v>
      </x:c>
    </x:row>
    <x:row r="12" ht="36" customHeight="1">
      <x:c r="A12" s="60" t="str">
        <x:v>京城俱乐部</x:v>
      </x:c>
      <x:c r="B12" s="60" t="str">
        <x:v>京城俱乐部，but要更艺术化，国际化</x:v>
      </x:c>
      <x:c r="C12" s="60" t="str">
        <x:v>02-06</x:v>
      </x:c>
      <x:c r="D12" s="60" t="str">
        <x:v>2026-10-21</x:v>
      </x:c>
      <x:c r="E12" s="60" t="str">
        <x:v>搜索标题卡片</x:v>
      </x:c>
      <x:c r="F12" s="60" t="n">
        <x:v>2</x:v>
      </x:c>
      <x:c r="G12" s="60"/>
      <x:c r="H12" s="60"/>
      <x:c r="I12" s="60" t="str">
        <x:v>商业内容标识未核实</x:v>
      </x:c>
      <x:c r="J12" s="60" t="str">
        <x:v>标题观察 待核正文与主体</x:v>
      </x:c>
      <x:c r="K12" s="60" t="str">
        <x:v>https://www.xiaohongshu.com/search_result/6985a04a0000000016009546</x:v>
      </x:c>
      <x:c r="L12" s="60" t="str">
        <x:v>X01</x:v>
      </x:c>
      <x:c r="M12" s="60" t="str">
        <x:v>非随机搜索样本；月日年份未明示，不推定真实客户身份</x:v>
      </x:c>
    </x:row>
    <x:row r="13" ht="36" customHeight="1">
      <x:c r="A13" s="60" t="str">
        <x:v>京城俱乐部</x:v>
      </x:c>
      <x:c r="B13" s="60" t="str">
        <x:v>京城俱乐部</x:v>
      </x:c>
      <x:c r="C13" s="60" t="str">
        <x:v>07-30</x:v>
      </x:c>
      <x:c r="D13" s="60" t="str">
        <x:v>2026-10-21</x:v>
      </x:c>
      <x:c r="E13" s="60" t="str">
        <x:v>搜索标题卡片</x:v>
      </x:c>
      <x:c r="F13" s="60" t="n">
        <x:v>6</x:v>
      </x:c>
      <x:c r="G13" s="60"/>
      <x:c r="H13" s="60"/>
      <x:c r="I13" s="60" t="str">
        <x:v>商业内容标识未核实</x:v>
      </x:c>
      <x:c r="J13" s="60" t="str">
        <x:v>标题观察 待核正文与主体</x:v>
      </x:c>
      <x:c r="K13" s="60" t="str">
        <x:v>https://www.xiaohongshu.com/search_result/6a6b2cb900000000320334bd</x:v>
      </x:c>
      <x:c r="L13" s="60" t="str">
        <x:v>X01</x:v>
      </x:c>
      <x:c r="M13" s="60" t="str">
        <x:v>非随机搜索样本；月日年份未明示，不推定真实客户身份</x:v>
      </x:c>
    </x:row>
    <x:row r="14" ht="36" customHeight="1">
      <x:c r="A14" s="60" t="str">
        <x:v>京城俱乐部</x:v>
      </x:c>
      <x:c r="B14" s="60" t="str">
        <x:v>至今也是北京最好的俱乐部</x:v>
      </x:c>
      <x:c r="C14" s="60" t="str">
        <x:v>2025-10-23</x:v>
      </x:c>
      <x:c r="D14" s="60" t="str">
        <x:v>2026-10-21</x:v>
      </x:c>
      <x:c r="E14" s="60" t="str">
        <x:v>搜索标题卡片</x:v>
      </x:c>
      <x:c r="F14" s="60" t="n">
        <x:v>41</x:v>
      </x:c>
      <x:c r="G14" s="60"/>
      <x:c r="H14" s="60"/>
      <x:c r="I14" s="60" t="str">
        <x:v>商业内容标识未核实</x:v>
      </x:c>
      <x:c r="J14" s="60" t="str">
        <x:v>标题观察 待核正文与主体</x:v>
      </x:c>
      <x:c r="K14" s="60" t="str">
        <x:v>https://www.xiaohongshu.com/search_result/68f9f66500000000030102ea</x:v>
      </x:c>
      <x:c r="L14" s="60" t="str">
        <x:v>X01</x:v>
      </x:c>
      <x:c r="M14" s="60" t="str">
        <x:v>非随机搜索样本；月日年份未明示，不推定真实客户身份</x:v>
      </x:c>
    </x:row>
    <x:row r="15" ht="36" customHeight="1">
      <x:c r="A15" s="60" t="str">
        <x:v>京城俱乐部</x:v>
      </x:c>
      <x:c r="B15" s="60" t="str">
        <x:v>YIN作｜ 京城顶奢社交场，沉淀时间的质感</x:v>
      </x:c>
      <x:c r="C15" s="60" t="str">
        <x:v>08-30</x:v>
      </x:c>
      <x:c r="D15" s="60" t="str">
        <x:v>2026-10-21</x:v>
      </x:c>
      <x:c r="E15" s="60" t="str">
        <x:v>搜索标题卡片</x:v>
      </x:c>
      <x:c r="F15" s="60" t="n">
        <x:v>3</x:v>
      </x:c>
      <x:c r="G15" s="60"/>
      <x:c r="H15" s="60"/>
      <x:c r="I15" s="60" t="str">
        <x:v>商业内容标识未核实</x:v>
      </x:c>
      <x:c r="J15" s="60" t="str">
        <x:v>标题观察 待核正文与主体</x:v>
      </x:c>
      <x:c r="K15" s="60" t="str">
        <x:v>https://www.xiaohongshu.com/search_result/6a93c89d000000001f01e846</x:v>
      </x:c>
      <x:c r="L15" s="60" t="str">
        <x:v>X01</x:v>
      </x:c>
      <x:c r="M15" s="60" t="str">
        <x:v>非随机搜索样本；月日年份未明示，不推定真实客户身份</x:v>
      </x:c>
    </x:row>
    <x:row r="16" ht="36" customHeight="1">
      <x:c r="A16" s="60" t="str">
        <x:v>京城俱乐部</x:v>
      </x:c>
      <x:c r="B16" s="60" t="str">
        <x:v>京城俱乐部的私享下午茶，被这份晶莹治愈</x:v>
      </x:c>
      <x:c r="C16" s="60" t="str">
        <x:v>07-18</x:v>
      </x:c>
      <x:c r="D16" s="60" t="str">
        <x:v>2026-10-21</x:v>
      </x:c>
      <x:c r="E16" s="60" t="str">
        <x:v>搜索标题卡片</x:v>
      </x:c>
      <x:c r="F16" s="60" t="n">
        <x:v>177</x:v>
      </x:c>
      <x:c r="G16" s="60"/>
      <x:c r="H16" s="60"/>
      <x:c r="I16" s="60" t="str">
        <x:v>商业内容标识未核实</x:v>
      </x:c>
      <x:c r="J16" s="60" t="str">
        <x:v>标题观察 待核正文与主体</x:v>
      </x:c>
      <x:c r="K16" s="60" t="str">
        <x:v>https://www.xiaohongshu.com/search_result/6a58a464000000001d0204ef</x:v>
      </x:c>
      <x:c r="L16" s="60" t="str">
        <x:v>X01</x:v>
      </x:c>
      <x:c r="M16" s="60" t="str">
        <x:v>非随机搜索样本；月日年份未明示，不推定真实客户身份</x:v>
      </x:c>
    </x:row>
    <x:row r="17" ht="36" customHeight="1">
      <x:c r="A17" s="60" t="str">
        <x:v>京城俱乐部</x:v>
      </x:c>
      <x:c r="B17" s="60" t="str">
        <x:v>京城俱乐部体验英式下午茶🫖</x:v>
      </x:c>
      <x:c r="C17" s="60" t="str">
        <x:v>2025-03-24</x:v>
      </x:c>
      <x:c r="D17" s="60" t="str">
        <x:v>2026-10-21</x:v>
      </x:c>
      <x:c r="E17" s="60" t="str">
        <x:v>搜索标题卡片</x:v>
      </x:c>
      <x:c r="F17" s="60" t="n">
        <x:v>17</x:v>
      </x:c>
      <x:c r="G17" s="60"/>
      <x:c r="H17" s="60"/>
      <x:c r="I17" s="60" t="str">
        <x:v>商业内容标识未核实</x:v>
      </x:c>
      <x:c r="J17" s="60" t="str">
        <x:v>标题观察 待核正文与主体</x:v>
      </x:c>
      <x:c r="K17" s="60" t="str">
        <x:v>https://www.xiaohongshu.com/search_result/67e1807d000000001d017ee5</x:v>
      </x:c>
      <x:c r="L17" s="60" t="str">
        <x:v>X01</x:v>
      </x:c>
      <x:c r="M17" s="60" t="str">
        <x:v>非随机搜索样本；月日年份未明示，不推定真实客户身份</x:v>
      </x:c>
    </x:row>
    <x:row r="18" ht="36" customHeight="1">
      <x:c r="A18" s="60" t="str">
        <x:v>京城俱乐部</x:v>
      </x:c>
      <x:c r="B18" s="60" t="str">
        <x:v>京城俱乐部是中国第一家私人俱乐部，成立于</x:v>
      </x:c>
      <x:c r="C18" s="60" t="str">
        <x:v>2024-12-08</x:v>
      </x:c>
      <x:c r="D18" s="60" t="str">
        <x:v>2026-10-21</x:v>
      </x:c>
      <x:c r="E18" s="60" t="str">
        <x:v>搜索标题卡片</x:v>
      </x:c>
      <x:c r="F18" s="60" t="n">
        <x:v>21</x:v>
      </x:c>
      <x:c r="G18" s="60"/>
      <x:c r="H18" s="60"/>
      <x:c r="I18" s="60" t="str">
        <x:v>商业内容标识未核实</x:v>
      </x:c>
      <x:c r="J18" s="60" t="str">
        <x:v>标题观察 待核正文与主体</x:v>
      </x:c>
      <x:c r="K18" s="60" t="str">
        <x:v>https://www.xiaohongshu.com/search_result/6754e939000000000700ab4a</x:v>
      </x:c>
      <x:c r="L18" s="60" t="str">
        <x:v>X01</x:v>
      </x:c>
      <x:c r="M18" s="60" t="str">
        <x:v>非随机搜索样本；月日年份未明示，不推定真实客户身份</x:v>
      </x:c>
    </x:row>
    <x:row r="19" ht="36" customHeight="1">
      <x:c r="A19" s="60" t="str">
        <x:v>京城俱乐部</x:v>
      </x:c>
      <x:c r="B19" s="60" t="str">
        <x:v>京城俱乐部的老钱风</x:v>
      </x:c>
      <x:c r="C19" s="60" t="str">
        <x:v>2025-01-21</x:v>
      </x:c>
      <x:c r="D19" s="60" t="str">
        <x:v>2026-10-21</x:v>
      </x:c>
      <x:c r="E19" s="60" t="str">
        <x:v>搜索标题卡片</x:v>
      </x:c>
      <x:c r="F19" s="60" t="n">
        <x:v>66</x:v>
      </x:c>
      <x:c r="G19" s="60"/>
      <x:c r="H19" s="60"/>
      <x:c r="I19" s="60" t="str">
        <x:v>商业内容标识未核实</x:v>
      </x:c>
      <x:c r="J19" s="60" t="str">
        <x:v>标题观察 待核正文与主体</x:v>
      </x:c>
      <x:c r="K19" s="60" t="str">
        <x:v>https://www.xiaohongshu.com/search_result/678fa92a0000000028035721</x:v>
      </x:c>
      <x:c r="L19" s="60" t="str">
        <x:v>X01</x:v>
      </x:c>
      <x:c r="M19" s="60" t="str">
        <x:v>非随机搜索样本；月日年份未明示，不推定真实客户身份</x:v>
      </x:c>
    </x:row>
    <x:row r="20" ht="36" customHeight="1">
      <x:c r="A20" s="60" t="str">
        <x:v>京城俱乐部</x:v>
      </x:c>
      <x:c r="B20" s="60" t="str">
        <x:v>主持京城俱乐部私人晚宴</x:v>
      </x:c>
      <x:c r="C20" s="60" t="str">
        <x:v>2025-01-07</x:v>
      </x:c>
      <x:c r="D20" s="60" t="str">
        <x:v>2026-10-21</x:v>
      </x:c>
      <x:c r="E20" s="60" t="str">
        <x:v>搜索标题卡片</x:v>
      </x:c>
      <x:c r="F20" s="60" t="n">
        <x:v>40</x:v>
      </x:c>
      <x:c r="G20" s="60"/>
      <x:c r="H20" s="60"/>
      <x:c r="I20" s="60" t="str">
        <x:v>商业内容标识未核实</x:v>
      </x:c>
      <x:c r="J20" s="60" t="str">
        <x:v>标题观察 待核正文与主体</x:v>
      </x:c>
      <x:c r="K20" s="60" t="str">
        <x:v>https://www.xiaohongshu.com/search_result/677d4e85000000001a035c92</x:v>
      </x:c>
      <x:c r="L20" s="60" t="str">
        <x:v>X01</x:v>
      </x:c>
      <x:c r="M20" s="60" t="str">
        <x:v>非随机搜索样本；月日年份未明示，不推定真实客户身份</x:v>
      </x:c>
    </x:row>
    <x:row r="21" ht="36" customHeight="1">
      <x:c r="A21" s="60" t="str">
        <x:v>京城俱乐部</x:v>
      </x:c>
      <x:c r="B21" s="60" t="str">
        <x:v>【探秘】京城30年历史的神秘高端俱乐部</x:v>
      </x:c>
      <x:c r="C21" s="60" t="str">
        <x:v>2024-11-28</x:v>
      </x:c>
      <x:c r="D21" s="60" t="str">
        <x:v>2026-10-21</x:v>
      </x:c>
      <x:c r="E21" s="60" t="str">
        <x:v>搜索标题卡片</x:v>
      </x:c>
      <x:c r="F21" s="60" t="n">
        <x:v>155</x:v>
      </x:c>
      <x:c r="G21" s="60"/>
      <x:c r="H21" s="60"/>
      <x:c r="I21" s="60" t="str">
        <x:v>商业内容标识未核实</x:v>
      </x:c>
      <x:c r="J21" s="60" t="str">
        <x:v>标题观察 待核正文与主体</x:v>
      </x:c>
      <x:c r="K21" s="60" t="str">
        <x:v>https://www.xiaohongshu.com/search_result/67480107000000000203bd2f</x:v>
      </x:c>
      <x:c r="L21" s="60" t="str">
        <x:v>X01</x:v>
      </x:c>
      <x:c r="M21" s="60" t="str">
        <x:v>非随机搜索样本；月日年份未明示，不推定真实客户身份</x:v>
      </x:c>
    </x:row>
    <x:row r="22" ht="36" customHeight="1">
      <x:c r="A22" s="60" t="str">
        <x:v>京城俱乐部</x:v>
      </x:c>
      <x:c r="B22" s="60" t="str">
        <x:v>你听说过吗？</x:v>
      </x:c>
      <x:c r="C22" s="60" t="str">
        <x:v>2025-01-06</x:v>
      </x:c>
      <x:c r="D22" s="60" t="str">
        <x:v>2026-10-21</x:v>
      </x:c>
      <x:c r="E22" s="60" t="str">
        <x:v>搜索标题卡片</x:v>
      </x:c>
      <x:c r="F22" s="60" t="n">
        <x:v>167</x:v>
      </x:c>
      <x:c r="G22" s="60"/>
      <x:c r="H22" s="60"/>
      <x:c r="I22" s="60" t="str">
        <x:v>商业内容标识未核实</x:v>
      </x:c>
      <x:c r="J22" s="60" t="str">
        <x:v>标题观察 待核正文与主体</x:v>
      </x:c>
      <x:c r="K22" s="60" t="str">
        <x:v>https://www.xiaohongshu.com/search_result/677ba08e00000000010021b4</x:v>
      </x:c>
      <x:c r="L22" s="60" t="str">
        <x:v>X01</x:v>
      </x:c>
      <x:c r="M22" s="60" t="str">
        <x:v>非随机搜索样本；月日年份未明示，不推定真实客户身份</x:v>
      </x:c>
    </x:row>
    <x:row r="23" ht="36" customHeight="1">
      <x:c r="A23" s="60" t="str">
        <x:v>京城俱乐部</x:v>
      </x:c>
      <x:c r="B23" s="60" t="str">
        <x:v>京城俱乐部主持🧩碎片</x:v>
      </x:c>
      <x:c r="C23" s="60" t="str">
        <x:v>2025-01-11</x:v>
      </x:c>
      <x:c r="D23" s="60" t="str">
        <x:v>2026-10-21</x:v>
      </x:c>
      <x:c r="E23" s="60" t="str">
        <x:v>搜索标题卡片</x:v>
      </x:c>
      <x:c r="F23" s="60" t="n">
        <x:v>17</x:v>
      </x:c>
      <x:c r="G23" s="60"/>
      <x:c r="H23" s="60"/>
      <x:c r="I23" s="60" t="str">
        <x:v>商业内容标识未核实</x:v>
      </x:c>
      <x:c r="J23" s="60" t="str">
        <x:v>标题观察 待核正文与主体</x:v>
      </x:c>
      <x:c r="K23" s="60" t="str">
        <x:v>https://www.xiaohongshu.com/search_result/6782197e0000000020027841</x:v>
      </x:c>
      <x:c r="L23" s="60" t="str">
        <x:v>X01</x:v>
      </x:c>
      <x:c r="M23" s="60" t="str">
        <x:v>非随机搜索样本；月日年份未明示，不推定真实客户身份</x:v>
      </x:c>
    </x:row>
    <x:row r="24" ht="36" customHeight="1">
      <x:c r="A24" s="60" t="str">
        <x:v>伟事达中国</x:v>
      </x:c>
      <x:c r="B24" s="60" t="str">
        <x:v>认识伟事达</x:v>
      </x:c>
      <x:c r="C24" s="60" t="str">
        <x:v>01-21</x:v>
      </x:c>
      <x:c r="D24" s="60" t="str">
        <x:v>2026-10-21</x:v>
      </x:c>
      <x:c r="E24" s="60" t="str">
        <x:v>搜索标题卡片</x:v>
      </x:c>
      <x:c r="F24" s="60" t="n">
        <x:v>3</x:v>
      </x:c>
      <x:c r="G24" s="60"/>
      <x:c r="H24" s="60"/>
      <x:c r="I24" s="60" t="str">
        <x:v>商业内容标识未核实</x:v>
      </x:c>
      <x:c r="J24" s="60" t="str">
        <x:v>标题观察 待核正文与主体</x:v>
      </x:c>
      <x:c r="K24" s="60" t="str">
        <x:v>https://www.xiaohongshu.com/search_result/69706311000000002203b836</x:v>
      </x:c>
      <x:c r="L24" s="60" t="str">
        <x:v>X02</x:v>
      </x:c>
      <x:c r="M24" s="60" t="str">
        <x:v>非随机搜索样本；月日年份未明示，不推定真实客户身份</x:v>
      </x:c>
    </x:row>
    <x:row r="25" ht="36" customHeight="1">
      <x:c r="A25" s="60" t="str">
        <x:v>伟事达中国</x:v>
      </x:c>
      <x:c r="B25" s="60" t="str">
        <x:v>成为“伟事达”私董会的一员</x:v>
      </x:c>
      <x:c r="C25" s="60" t="str">
        <x:v>2025-03-13</x:v>
      </x:c>
      <x:c r="D25" s="60" t="str">
        <x:v>2026-10-21</x:v>
      </x:c>
      <x:c r="E25" s="60" t="str">
        <x:v>搜索标题卡片</x:v>
      </x:c>
      <x:c r="F25" s="60" t="n">
        <x:v>8</x:v>
      </x:c>
      <x:c r="G25" s="60"/>
      <x:c r="H25" s="60"/>
      <x:c r="I25" s="60" t="str">
        <x:v>商业内容标识未核实</x:v>
      </x:c>
      <x:c r="J25" s="60" t="str">
        <x:v>标题观察 待核正文与主体</x:v>
      </x:c>
      <x:c r="K25" s="60" t="str">
        <x:v>https://www.xiaohongshu.com/search_result/67d2221d000000000d0143d1</x:v>
      </x:c>
      <x:c r="L25" s="60" t="str">
        <x:v>X02</x:v>
      </x:c>
      <x:c r="M25" s="60" t="str">
        <x:v>非随机搜索样本；月日年份未明示，不推定真实客户身份</x:v>
      </x:c>
    </x:row>
    <x:row r="26" ht="36" customHeight="1">
      <x:c r="A26" s="60" t="str">
        <x:v>伟事达中国</x:v>
      </x:c>
      <x:c r="B26" s="60" t="str">
        <x:v>跟 20 个出海 CEO 聊完，我改了做法</x:v>
      </x:c>
      <x:c r="C26" s="60" t="str">
        <x:v>09-14</x:v>
      </x:c>
      <x:c r="D26" s="60" t="str">
        <x:v>2026-10-21</x:v>
      </x:c>
      <x:c r="E26" s="60" t="str">
        <x:v>搜索标题卡片</x:v>
      </x:c>
      <x:c r="F26" s="60"/>
      <x:c r="G26" s="60"/>
      <x:c r="H26" s="60"/>
      <x:c r="I26" s="60" t="str">
        <x:v>商业内容标识未核实</x:v>
      </x:c>
      <x:c r="J26" s="60" t="str">
        <x:v>标题观察 待核正文与主体</x:v>
      </x:c>
      <x:c r="K26" s="60" t="str">
        <x:v>https://www.xiaohongshu.com/search_result/6aa7c4c2000000001001f31d</x:v>
      </x:c>
      <x:c r="L26" s="60" t="str">
        <x:v>X02</x:v>
      </x:c>
      <x:c r="M26" s="60" t="str">
        <x:v>非随机搜索样本；月日年份未明示，不推定真实客户身份</x:v>
      </x:c>
    </x:row>
    <x:row r="27" ht="36" customHeight="1">
      <x:c r="A27" s="60" t="str">
        <x:v>伟事达中国</x:v>
      </x:c>
      <x:c r="B27" s="60" t="str">
        <x:v>97年律二代伟事达商学院学习日常</x:v>
      </x:c>
      <x:c r="C27" s="60" t="str">
        <x:v>6天前</x:v>
      </x:c>
      <x:c r="D27" s="60" t="str">
        <x:v>2026-10-21</x:v>
      </x:c>
      <x:c r="E27" s="60" t="str">
        <x:v>搜索标题卡片</x:v>
      </x:c>
      <x:c r="F27" s="60" t="n">
        <x:v>9</x:v>
      </x:c>
      <x:c r="G27" s="60"/>
      <x:c r="H27" s="60"/>
      <x:c r="I27" s="60" t="str">
        <x:v>商业内容标识未核实</x:v>
      </x:c>
      <x:c r="J27" s="60" t="str">
        <x:v>标题观察 待核正文与主体</x:v>
      </x:c>
      <x:c r="K27" s="60" t="str">
        <x:v>https://www.xiaohongshu.com/search_result/6acf23a4000000001c01f415</x:v>
      </x:c>
      <x:c r="L27" s="60" t="str">
        <x:v>X02</x:v>
      </x:c>
      <x:c r="M27" s="60" t="str">
        <x:v>非随机搜索样本；月日年份未明示，不推定真实客户身份</x:v>
      </x:c>
    </x:row>
    <x:row r="28" ht="36" customHeight="1">
      <x:c r="A28" s="60" t="str">
        <x:v>伟事达中国</x:v>
      </x:c>
      <x:c r="B28" s="60" t="str">
        <x:v>伟事达教练定期举办内部培训和交流会议</x:v>
      </x:c>
      <x:c r="C28" s="60" t="str">
        <x:v>2025-08-16</x:v>
      </x:c>
      <x:c r="D28" s="60" t="str">
        <x:v>2026-10-21</x:v>
      </x:c>
      <x:c r="E28" s="60" t="str">
        <x:v>搜索标题卡片</x:v>
      </x:c>
      <x:c r="F28" s="60" t="n">
        <x:v>2</x:v>
      </x:c>
      <x:c r="G28" s="60"/>
      <x:c r="H28" s="60"/>
      <x:c r="I28" s="60" t="str">
        <x:v>商业内容标识未核实</x:v>
      </x:c>
      <x:c r="J28" s="60" t="str">
        <x:v>标题观察 待核正文与主体</x:v>
      </x:c>
      <x:c r="K28" s="60" t="str">
        <x:v>https://www.xiaohongshu.com/search_result/68a01255000000001c012e5c</x:v>
      </x:c>
      <x:c r="L28" s="60" t="str">
        <x:v>X02</x:v>
      </x:c>
      <x:c r="M28" s="60" t="str">
        <x:v>非随机搜索样本；月日年份未明示，不推定真实客户身份</x:v>
      </x:c>
    </x:row>
    <x:row r="29" ht="36" customHeight="1">
      <x:c r="A29" s="60" t="str">
        <x:v>伟事达中国</x:v>
      </x:c>
      <x:c r="B29" s="60" t="str">
        <x:v>伟事达中国首届CEO峰会在上海成功举办</x:v>
      </x:c>
      <x:c r="C29" s="60" t="str">
        <x:v>2025-11-13</x:v>
      </x:c>
      <x:c r="D29" s="60" t="str">
        <x:v>2026-10-21</x:v>
      </x:c>
      <x:c r="E29" s="60" t="str">
        <x:v>搜索标题卡片</x:v>
      </x:c>
      <x:c r="F29" s="60" t="n">
        <x:v>1</x:v>
      </x:c>
      <x:c r="G29" s="60"/>
      <x:c r="H29" s="60"/>
      <x:c r="I29" s="60" t="str">
        <x:v>商业内容标识未核实</x:v>
      </x:c>
      <x:c r="J29" s="60" t="str">
        <x:v>标题观察 待核正文与主体</x:v>
      </x:c>
      <x:c r="K29" s="60" t="str">
        <x:v>https://www.xiaohongshu.com/search_result/69157c880000000004004beb</x:v>
      </x:c>
      <x:c r="L29" s="60" t="str">
        <x:v>X02</x:v>
      </x:c>
      <x:c r="M29" s="60" t="str">
        <x:v>非随机搜索样本；月日年份未明示，不推定真实客户身份</x:v>
      </x:c>
    </x:row>
    <x:row r="30" ht="36" customHeight="1">
      <x:c r="A30" s="60" t="str">
        <x:v>伟事达中国</x:v>
      </x:c>
      <x:c r="B30" s="60" t="str">
        <x:v>伟事达私董会绝对是私董会的顶流！</x:v>
      </x:c>
      <x:c r="C30" s="60" t="str">
        <x:v>2025-11-09</x:v>
      </x:c>
      <x:c r="D30" s="60" t="str">
        <x:v>2026-10-21</x:v>
      </x:c>
      <x:c r="E30" s="60" t="str">
        <x:v>搜索标题卡片</x:v>
      </x:c>
      <x:c r="F30" s="60" t="n">
        <x:v>3</x:v>
      </x:c>
      <x:c r="G30" s="60"/>
      <x:c r="H30" s="60"/>
      <x:c r="I30" s="60" t="str">
        <x:v>商业内容标识未核实</x:v>
      </x:c>
      <x:c r="J30" s="60" t="str">
        <x:v>标题观察 待核正文与主体</x:v>
      </x:c>
      <x:c r="K30" s="60" t="str">
        <x:v>https://www.xiaohongshu.com/search_result/69106a96000000000400695d</x:v>
      </x:c>
      <x:c r="L30" s="60" t="str">
        <x:v>X02</x:v>
      </x:c>
      <x:c r="M30" s="60" t="str">
        <x:v>非随机搜索样本；月日年份未明示，不推定真实客户身份</x:v>
      </x:c>
    </x:row>
    <x:row r="31" ht="36" customHeight="1">
      <x:c r="A31" s="60" t="str">
        <x:v>伟事达中国</x:v>
      </x:c>
      <x:c r="B31" s="60" t="str">
        <x:v>伟事达首届中国CEO峰会</x:v>
      </x:c>
      <x:c r="C31" s="60" t="str">
        <x:v>2025-11-10</x:v>
      </x:c>
      <x:c r="D31" s="60" t="str">
        <x:v>2026-10-21</x:v>
      </x:c>
      <x:c r="E31" s="60" t="str">
        <x:v>搜索标题卡片</x:v>
      </x:c>
      <x:c r="F31" s="60" t="n">
        <x:v>6</x:v>
      </x:c>
      <x:c r="G31" s="60"/>
      <x:c r="H31" s="60"/>
      <x:c r="I31" s="60" t="str">
        <x:v>商业内容标识未核实</x:v>
      </x:c>
      <x:c r="J31" s="60" t="str">
        <x:v>标题观察 待核正文与主体</x:v>
      </x:c>
      <x:c r="K31" s="60" t="str">
        <x:v>https://www.xiaohongshu.com/search_result/691122020000000007017152</x:v>
      </x:c>
      <x:c r="L31" s="60" t="str">
        <x:v>X02</x:v>
      </x:c>
      <x:c r="M31" s="60" t="str">
        <x:v>非随机搜索样本；月日年份未明示，不推定真实客户身份</x:v>
      </x:c>
    </x:row>
    <x:row r="32" ht="36" customHeight="1">
      <x:c r="A32" s="60" t="str">
        <x:v>伟事达中国</x:v>
      </x:c>
      <x:c r="B32" s="60" t="str">
        <x:v>关于伟事达会员的常见问答 FAQ</x:v>
      </x:c>
      <x:c r="C32" s="60" t="str">
        <x:v>08-20</x:v>
      </x:c>
      <x:c r="D32" s="60" t="str">
        <x:v>2026-10-21</x:v>
      </x:c>
      <x:c r="E32" s="60" t="str">
        <x:v>搜索标题卡片</x:v>
      </x:c>
      <x:c r="F32" s="60"/>
      <x:c r="G32" s="60"/>
      <x:c r="H32" s="60"/>
      <x:c r="I32" s="60" t="str">
        <x:v>商业内容标识未核实</x:v>
      </x:c>
      <x:c r="J32" s="60" t="str">
        <x:v>标题观察 待核正文与主体</x:v>
      </x:c>
      <x:c r="K32" s="60" t="str">
        <x:v>https://www.xiaohongshu.com/search_result/6a8670910000000008017b94</x:v>
      </x:c>
      <x:c r="L32" s="60" t="str">
        <x:v>X02</x:v>
      </x:c>
      <x:c r="M32" s="60" t="str">
        <x:v>非随机搜索样本；月日年份未明示，不推定真实客户身份</x:v>
      </x:c>
    </x:row>
    <x:row r="33" ht="36" customHeight="1">
      <x:c r="A33" s="60" t="str">
        <x:v>伟事达中国</x:v>
      </x:c>
      <x:c r="B33" s="60" t="str">
        <x:v>精心打造组织产能(2)</x:v>
      </x:c>
      <x:c r="C33" s="60" t="str">
        <x:v>07-21</x:v>
      </x:c>
      <x:c r="D33" s="60" t="str">
        <x:v>2026-10-21</x:v>
      </x:c>
      <x:c r="E33" s="60" t="str">
        <x:v>搜索标题卡片</x:v>
      </x:c>
      <x:c r="F33" s="60" t="n">
        <x:v>3</x:v>
      </x:c>
      <x:c r="G33" s="60"/>
      <x:c r="H33" s="60"/>
      <x:c r="I33" s="60" t="str">
        <x:v>商业内容标识未核实</x:v>
      </x:c>
      <x:c r="J33" s="60" t="str">
        <x:v>标题观察 待核正文与主体</x:v>
      </x:c>
      <x:c r="K33" s="60" t="str">
        <x:v>https://www.xiaohongshu.com/search_result/6a5f81f2000000000f02b238</x:v>
      </x:c>
      <x:c r="L33" s="60" t="str">
        <x:v>X02</x:v>
      </x:c>
      <x:c r="M33" s="60" t="str">
        <x:v>非随机搜索样本；月日年份未明示，不推定真实客户身份</x:v>
      </x:c>
    </x:row>
    <x:row r="34" ht="36" customHeight="1">
      <x:c r="A34" s="60" t="str">
        <x:v>伟事达中国</x:v>
      </x:c>
      <x:c r="B34" s="60" t="str">
        <x:v>具身赛道狂奔，创始人先破局！</x:v>
      </x:c>
      <x:c r="C34" s="60" t="str">
        <x:v>6天前</x:v>
      </x:c>
      <x:c r="D34" s="60" t="str">
        <x:v>2026-10-21</x:v>
      </x:c>
      <x:c r="E34" s="60" t="str">
        <x:v>搜索标题卡片</x:v>
      </x:c>
      <x:c r="F34" s="60" t="n">
        <x:v>2</x:v>
      </x:c>
      <x:c r="G34" s="60"/>
      <x:c r="H34" s="60"/>
      <x:c r="I34" s="60" t="str">
        <x:v>商业内容标识未核实</x:v>
      </x:c>
      <x:c r="J34" s="60" t="str">
        <x:v>标题观察 待核正文与主体</x:v>
      </x:c>
      <x:c r="K34" s="60" t="str">
        <x:v>https://www.xiaohongshu.com/search_result/6acf3e330000000018011081</x:v>
      </x:c>
      <x:c r="L34" s="60" t="str">
        <x:v>X02</x:v>
      </x:c>
      <x:c r="M34" s="60" t="str">
        <x:v>非随机搜索样本；月日年份未明示，不推定真实客户身份</x:v>
      </x:c>
    </x:row>
    <x:row r="35" ht="36" customHeight="1">
      <x:c r="A35" s="60" t="str">
        <x:v>伟事达中国</x:v>
      </x:c>
      <x:c r="B35" s="60" t="str">
        <x:v>伟事达中国首届ceo峰会花絮</x:v>
      </x:c>
      <x:c r="C35" s="60" t="str">
        <x:v>2025-11-10</x:v>
      </x:c>
      <x:c r="D35" s="60" t="str">
        <x:v>2026-10-21</x:v>
      </x:c>
      <x:c r="E35" s="60" t="str">
        <x:v>搜索标题卡片</x:v>
      </x:c>
      <x:c r="F35" s="60"/>
      <x:c r="G35" s="60"/>
      <x:c r="H35" s="60"/>
      <x:c r="I35" s="60" t="str">
        <x:v>商业内容标识未核实</x:v>
      </x:c>
      <x:c r="J35" s="60" t="str">
        <x:v>标题观察 待核正文与主体</x:v>
      </x:c>
      <x:c r="K35" s="60" t="str">
        <x:v>https://www.xiaohongshu.com/search_result/69119b4a00000000070162e6</x:v>
      </x:c>
      <x:c r="L35" s="60" t="str">
        <x:v>X02</x:v>
      </x:c>
      <x:c r="M35" s="60" t="str">
        <x:v>非随机搜索样本；月日年份未明示，不推定真实客户身份</x:v>
      </x:c>
    </x:row>
    <x:row r="36" ht="36" customHeight="1">
      <x:c r="A36" s="60" t="str">
        <x:v>伟事达中国</x:v>
      </x:c>
      <x:c r="B36" s="60" t="str">
        <x:v>问真问题，得真答案——国际伟事达私董会</x:v>
      </x:c>
      <x:c r="C36" s="60" t="str">
        <x:v>06-26</x:v>
      </x:c>
      <x:c r="D36" s="60" t="str">
        <x:v>2026-10-21</x:v>
      </x:c>
      <x:c r="E36" s="60" t="str">
        <x:v>搜索标题卡片</x:v>
      </x:c>
      <x:c r="F36" s="60" t="n">
        <x:v>4</x:v>
      </x:c>
      <x:c r="G36" s="60"/>
      <x:c r="H36" s="60"/>
      <x:c r="I36" s="60" t="str">
        <x:v>商业内容标识未核实</x:v>
      </x:c>
      <x:c r="J36" s="60" t="str">
        <x:v>标题观察 待核正文与主体</x:v>
      </x:c>
      <x:c r="K36" s="60" t="str">
        <x:v>https://www.xiaohongshu.com/search_result/6a3e8d02000000000f01e14d</x:v>
      </x:c>
      <x:c r="L36" s="60" t="str">
        <x:v>X02</x:v>
      </x:c>
      <x:c r="M36" s="60" t="str">
        <x:v>非随机搜索样本；月日年份未明示，不推定真实客户身份</x:v>
      </x:c>
    </x:row>
    <x:row r="37" ht="36" customHeight="1">
      <x:c r="A37" s="60" t="str">
        <x:v>伟事达中国</x:v>
      </x:c>
      <x:c r="B37" s="60" t="str">
        <x:v>伟事达模式私董会：数字化转型 组织突围</x:v>
      </x:c>
      <x:c r="C37" s="60" t="str">
        <x:v>2025-07-20</x:v>
      </x:c>
      <x:c r="D37" s="60" t="str">
        <x:v>2026-10-21</x:v>
      </x:c>
      <x:c r="E37" s="60" t="str">
        <x:v>搜索标题卡片</x:v>
      </x:c>
      <x:c r="F37" s="60" t="n">
        <x:v>2</x:v>
      </x:c>
      <x:c r="G37" s="60"/>
      <x:c r="H37" s="60"/>
      <x:c r="I37" s="60" t="str">
        <x:v>商业内容标识未核实</x:v>
      </x:c>
      <x:c r="J37" s="60" t="str">
        <x:v>标题观察 待核正文与主体</x:v>
      </x:c>
      <x:c r="K37" s="60" t="str">
        <x:v>https://www.xiaohongshu.com/search_result/687c5604000000000d01bd28</x:v>
      </x:c>
      <x:c r="L37" s="60" t="str">
        <x:v>X02</x:v>
      </x:c>
      <x:c r="M37" s="60" t="str">
        <x:v>非随机搜索样本；月日年份未明示，不推定真实客户身份</x:v>
      </x:c>
    </x:row>
    <x:row r="38" ht="36" customHeight="1">
      <x:c r="A38" s="60" t="str">
        <x:v>伟事达中国</x:v>
      </x:c>
      <x:c r="B38" s="60" t="str">
        <x:v>加入059，伟大的事业必达</x:v>
      </x:c>
      <x:c r="C38" s="60" t="str">
        <x:v>09-08</x:v>
      </x:c>
      <x:c r="D38" s="60" t="str">
        <x:v>2026-10-21</x:v>
      </x:c>
      <x:c r="E38" s="60" t="str">
        <x:v>搜索标题卡片</x:v>
      </x:c>
      <x:c r="F38" s="60" t="n">
        <x:v>1</x:v>
      </x:c>
      <x:c r="G38" s="60"/>
      <x:c r="H38" s="60"/>
      <x:c r="I38" s="60" t="str">
        <x:v>商业内容标识未核实</x:v>
      </x:c>
      <x:c r="J38" s="60" t="str">
        <x:v>标题观察 待核正文与主体</x:v>
      </x:c>
      <x:c r="K38" s="60" t="str">
        <x:v>https://www.xiaohongshu.com/search_result/6a9f51a50000000011033c09</x:v>
      </x:c>
      <x:c r="L38" s="60" t="str">
        <x:v>X02</x:v>
      </x:c>
      <x:c r="M38" s="60" t="str">
        <x:v>非随机搜索样本；月日年份未明示，不推定真实客户身份</x:v>
      </x:c>
    </x:row>
    <x:row r="39" ht="36" customHeight="1">
      <x:c r="A39" s="60" t="str">
        <x:v>伟事达中国</x:v>
      </x:c>
      <x:c r="B39" s="60" t="str">
        <x:v>🚨 WESDAR（伟仕达）正式开业！🚨</x:v>
      </x:c>
      <x:c r="C39" s="60" t="str">
        <x:v>08-17</x:v>
      </x:c>
      <x:c r="D39" s="60" t="str">
        <x:v>2026-10-21</x:v>
      </x:c>
      <x:c r="E39" s="60" t="str">
        <x:v>搜索标题卡片</x:v>
      </x:c>
      <x:c r="F39" s="60" t="n">
        <x:v>5</x:v>
      </x:c>
      <x:c r="G39" s="60"/>
      <x:c r="H39" s="60"/>
      <x:c r="I39" s="60" t="str">
        <x:v>商业内容标识未核实</x:v>
      </x:c>
      <x:c r="J39" s="60" t="str">
        <x:v>排除 同名或无关</x:v>
      </x:c>
      <x:c r="K39" s="60" t="str">
        <x:v>https://www.xiaohongshu.com/search_result/6a830e150000000005029294</x:v>
      </x:c>
      <x:c r="L39" s="60" t="str">
        <x:v>X02</x:v>
      </x:c>
      <x:c r="M39" s="60" t="str">
        <x:v>非随机搜索样本；月日年份未明示，不推定真实客户身份</x:v>
      </x:c>
    </x:row>
    <x:row r="40" ht="36" customHeight="1">
      <x:c r="A40" s="60" t="str">
        <x:v>耀悦</x:v>
      </x:c>
      <x:c r="B40" s="60" t="str">
        <x:v>春节出发，住顶奢营地，乘小飞机闯入非洲</x:v>
      </x:c>
      <x:c r="C40" s="60" t="str">
        <x:v>1天前 北京</x:v>
      </x:c>
      <x:c r="D40" s="60" t="str">
        <x:v>2026-10-21</x:v>
      </x:c>
      <x:c r="E40" s="60" t="str">
        <x:v>逐篇正文及账号目录</x:v>
      </x:c>
      <x:c r="F40" s="60"/>
      <x:c r="G40" s="60"/>
      <x:c r="H40" s="60"/>
      <x:c r="I40" s="60" t="str">
        <x:v>品牌自发内容；平台广告标识未核实</x:v>
      </x:c>
      <x:c r="J40" s="60" t="str">
        <x:v>目的地与资源</x:v>
      </x:c>
      <x:c r="K40" s="60" t="str">
        <x:v>https://www.xiaohongshu.com/user/profile/63b3a40d0000000026005569/6ad5c73b00000000310059b8</x:v>
      </x:c>
      <x:c r="L40" s="60" t="str">
        <x:v>X03-01</x:v>
      </x:c>
      <x:c r="M40" s="60" t="str">
        <x:v>月日未明示年份，按采集时上下文推定2026；编辑日与首发日区分</x:v>
      </x:c>
    </x:row>
    <x:row r="41" ht="36" customHeight="1">
      <x:c r="A41" s="60" t="str">
        <x:v>耀悦</x:v>
      </x:c>
      <x:c r="B41" s="60" t="str">
        <x:v>神奇秘境，在南澳州遇见海鲜牧场+浪漫粉湖</x:v>
      </x:c>
      <x:c r="C41" s="60" t="str">
        <x:v>10-10 北京</x:v>
      </x:c>
      <x:c r="D41" s="60" t="str">
        <x:v>2026-10-21</x:v>
      </x:c>
      <x:c r="E41" s="60" t="str">
        <x:v>逐篇正文及账号目录</x:v>
      </x:c>
      <x:c r="F41" s="60" t="n">
        <x:v>264</x:v>
      </x:c>
      <x:c r="G41" s="60"/>
      <x:c r="H41" s="60"/>
      <x:c r="I41" s="60" t="str">
        <x:v>品牌自发内容；平台广告标识未核实</x:v>
      </x:c>
      <x:c r="J41" s="60" t="str">
        <x:v>目的地与资源</x:v>
      </x:c>
      <x:c r="K41" s="60" t="str">
        <x:v>https://www.xiaohongshu.com/user/profile/63b3a40d0000000026005569/6ac9b55b0000000002013a8f</x:v>
      </x:c>
      <x:c r="L41" s="60" t="str">
        <x:v>X03-02</x:v>
      </x:c>
      <x:c r="M41" s="60" t="str">
        <x:v>月日未明示年份，按采集时上下文推定2026；编辑日与首发日区分</x:v>
      </x:c>
    </x:row>
    <x:row r="42" ht="36" customHeight="1">
      <x:c r="A42" s="60" t="str">
        <x:v>耀悦</x:v>
      </x:c>
      <x:c r="B42" s="60" t="str">
        <x:v>一生必去的南极，如何选船？ 5条路线攻略</x:v>
      </x:c>
      <x:c r="C42" s="60" t="str">
        <x:v>10-09 北京</x:v>
      </x:c>
      <x:c r="D42" s="60" t="str">
        <x:v>2026-10-21</x:v>
      </x:c>
      <x:c r="E42" s="60" t="str">
        <x:v>逐篇正文及账号目录</x:v>
      </x:c>
      <x:c r="F42" s="60" t="n">
        <x:v>2</x:v>
      </x:c>
      <x:c r="G42" s="60"/>
      <x:c r="H42" s="60"/>
      <x:c r="I42" s="60" t="str">
        <x:v>品牌自发内容；平台广告标识未核实</x:v>
      </x:c>
      <x:c r="J42" s="60" t="str">
        <x:v>比较与选购指南</x:v>
      </x:c>
      <x:c r="K42" s="60" t="str">
        <x:v>https://www.xiaohongshu.com/user/profile/63b3a40d0000000026005569/6ac883c2000000001501151f</x:v>
      </x:c>
      <x:c r="L42" s="60" t="str">
        <x:v>X03-03</x:v>
      </x:c>
      <x:c r="M42" s="60" t="str">
        <x:v>月日未明示年份，按采集时上下文推定2026；编辑日与首发日区分</x:v>
      </x:c>
    </x:row>
    <x:row r="43" ht="36" customHeight="1">
      <x:c r="A43" s="60" t="str">
        <x:v>耀悦</x:v>
      </x:c>
      <x:c r="B43" s="60" t="str">
        <x:v>首条冰岛定期航线开通，追寻蓝冰与极光</x:v>
      </x:c>
      <x:c r="C43" s="60" t="str">
        <x:v>09-22 北京</x:v>
      </x:c>
      <x:c r="D43" s="60" t="str">
        <x:v>2026-10-21</x:v>
      </x:c>
      <x:c r="E43" s="60" t="str">
        <x:v>逐篇正文及账号目录</x:v>
      </x:c>
      <x:c r="F43" s="60" t="n">
        <x:v>4</x:v>
      </x:c>
      <x:c r="G43" s="60"/>
      <x:c r="H43" s="60"/>
      <x:c r="I43" s="60" t="str">
        <x:v>品牌自发内容；平台广告标识未核实</x:v>
      </x:c>
      <x:c r="J43" s="60" t="str">
        <x:v>目的地与资源</x:v>
      </x:c>
      <x:c r="K43" s="60" t="str">
        <x:v>https://www.xiaohongshu.com/user/profile/63b3a40d0000000026005569/6ab240cb0000000033036746</x:v>
      </x:c>
      <x:c r="L43" s="60" t="str">
        <x:v>X03-04</x:v>
      </x:c>
      <x:c r="M43" s="60" t="str">
        <x:v>月日未明示年份，按采集时上下文推定2026；编辑日与首发日区分</x:v>
      </x:c>
    </x:row>
    <x:row r="44" ht="36" customHeight="1">
      <x:c r="A44" s="60" t="str">
        <x:v>耀悦</x:v>
      </x:c>
      <x:c r="B44" s="60" t="str">
        <x:v>走进秦岭科考，与一线守护者共赴国家公园</x:v>
      </x:c>
      <x:c r="C44" s="60" t="str">
        <x:v>09-21 北京</x:v>
      </x:c>
      <x:c r="D44" s="60" t="str">
        <x:v>2026-10-21</x:v>
      </x:c>
      <x:c r="E44" s="60" t="str">
        <x:v>逐篇正文及账号目录</x:v>
      </x:c>
      <x:c r="F44" s="60" t="n">
        <x:v>16</x:v>
      </x:c>
      <x:c r="G44" s="60"/>
      <x:c r="H44" s="60"/>
      <x:c r="I44" s="60" t="str">
        <x:v>品牌自发内容；平台广告标识未核实</x:v>
      </x:c>
      <x:c r="J44" s="60" t="str">
        <x:v>自然与科考</x:v>
      </x:c>
      <x:c r="K44" s="60" t="str">
        <x:v>https://www.xiaohongshu.com/user/profile/63b3a40d0000000026005569/6ab0faaf0000000035019c29</x:v>
      </x:c>
      <x:c r="L44" s="60" t="str">
        <x:v>X03-05</x:v>
      </x:c>
      <x:c r="M44" s="60" t="str">
        <x:v>月日未明示年份，按采集时上下文推定2026；编辑日与首发日区分</x:v>
      </x:c>
    </x:row>
    <x:row r="45" ht="36" customHeight="1">
      <x:c r="A45" s="60" t="str">
        <x:v>耀悦</x:v>
      </x:c>
      <x:c r="B45" s="60" t="str">
        <x:v>秋日微醺，香港「美酒佳肴巡礼」专属礼遇</x:v>
      </x:c>
      <x:c r="C45" s="60" t="str">
        <x:v>09-17</x:v>
      </x:c>
      <x:c r="D45" s="60" t="str">
        <x:v>2026-10-21</x:v>
      </x:c>
      <x:c r="E45" s="60" t="str">
        <x:v>逐篇正文及账号目录</x:v>
      </x:c>
      <x:c r="F45" s="60" t="n">
        <x:v>13</x:v>
      </x:c>
      <x:c r="G45" s="60"/>
      <x:c r="H45" s="60"/>
      <x:c r="I45" s="60" t="str">
        <x:v>品牌自发内容；平台广告标识未核实</x:v>
      </x:c>
      <x:c r="J45" s="60" t="str">
        <x:v>目的地与资源</x:v>
      </x:c>
      <x:c r="K45" s="60" t="str">
        <x:v>https://www.xiaohongshu.com/user/profile/63b3a40d0000000026005569/6aab8e2d0000000028029876</x:v>
      </x:c>
      <x:c r="L45" s="60" t="str">
        <x:v>X03-06</x:v>
      </x:c>
      <x:c r="M45" s="60" t="str">
        <x:v>月日未明示年份，按采集时上下文推定2026；编辑日与首发日区分</x:v>
      </x:c>
    </x:row>
    <x:row r="46" ht="36" customHeight="1">
      <x:c r="A46" s="60" t="str">
        <x:v>耀悦</x:v>
      </x:c>
      <x:c r="B46" s="60" t="str">
        <x:v>跟着一线巡护员去胖达保护区，探秘国家公园</x:v>
      </x:c>
      <x:c r="C46" s="60" t="str">
        <x:v>09-16</x:v>
      </x:c>
      <x:c r="D46" s="60" t="str">
        <x:v>2026-10-21</x:v>
      </x:c>
      <x:c r="E46" s="60" t="str">
        <x:v>逐篇正文及账号目录</x:v>
      </x:c>
      <x:c r="F46" s="60" t="n">
        <x:v>656</x:v>
      </x:c>
      <x:c r="G46" s="60"/>
      <x:c r="H46" s="60"/>
      <x:c r="I46" s="60" t="str">
        <x:v>品牌自发内容；平台广告标识未核实</x:v>
      </x:c>
      <x:c r="J46" s="60" t="str">
        <x:v>自然与科考</x:v>
      </x:c>
      <x:c r="K46" s="60" t="str">
        <x:v>https://www.xiaohongshu.com/user/profile/63b3a40d0000000026005569/6aaa5e0f000000002603a810</x:v>
      </x:c>
      <x:c r="L46" s="60" t="str">
        <x:v>X03-07</x:v>
      </x:c>
      <x:c r="M46" s="60" t="str">
        <x:v>月日未明示年份，按采集时上下文推定2026；编辑日与首发日区分</x:v>
      </x:c>
    </x:row>
    <x:row r="47" ht="36" customHeight="1">
      <x:c r="A47" s="60" t="str">
        <x:v>耀悦</x:v>
      </x:c>
      <x:c r="B47" s="60" t="str">
        <x:v>丝路回响,探索中亚的极致风光与千年文明</x:v>
      </x:c>
      <x:c r="C47" s="60" t="str">
        <x:v>09-15</x:v>
      </x:c>
      <x:c r="D47" s="60" t="str">
        <x:v>2026-10-21</x:v>
      </x:c>
      <x:c r="E47" s="60" t="str">
        <x:v>逐篇正文及账号目录</x:v>
      </x:c>
      <x:c r="F47" s="60" t="n">
        <x:v>48</x:v>
      </x:c>
      <x:c r="G47" s="60"/>
      <x:c r="H47" s="60"/>
      <x:c r="I47" s="60" t="str">
        <x:v>品牌自发内容；平台广告标识未核实</x:v>
      </x:c>
      <x:c r="J47" s="60" t="str">
        <x:v>目的地与资源</x:v>
      </x:c>
      <x:c r="K47" s="60" t="str">
        <x:v>https://www.xiaohongshu.com/user/profile/63b3a40d0000000026005569/6aa8edf6000000000b00d5ad</x:v>
      </x:c>
      <x:c r="L47" s="60" t="str">
        <x:v>X03-08</x:v>
      </x:c>
      <x:c r="M47" s="60" t="str">
        <x:v>月日未明示年份，按采集时上下文推定2026；编辑日与首发日区分</x:v>
      </x:c>
    </x:row>
    <x:row r="48" ht="36" customHeight="1">
      <x:c r="A48" s="60" t="str">
        <x:v>耀悦</x:v>
      </x:c>
      <x:c r="B48" s="60" t="str">
        <x:v>在南澳州，住进堪比非洲草原的野奢营地</x:v>
      </x:c>
      <x:c r="C48" s="60" t="str">
        <x:v>09-11</x:v>
      </x:c>
      <x:c r="D48" s="60" t="str">
        <x:v>2026-10-21</x:v>
      </x:c>
      <x:c r="E48" s="60" t="str">
        <x:v>逐篇正文及账号目录</x:v>
      </x:c>
      <x:c r="F48" s="60" t="n">
        <x:v>527</x:v>
      </x:c>
      <x:c r="G48" s="60"/>
      <x:c r="H48" s="60"/>
      <x:c r="I48" s="60" t="str">
        <x:v>品牌自发内容；平台广告标识未核实</x:v>
      </x:c>
      <x:c r="J48" s="60" t="str">
        <x:v>目的地与资源</x:v>
      </x:c>
      <x:c r="K48" s="60" t="str">
        <x:v>https://www.xiaohongshu.com/user/profile/63b3a40d0000000026005569/6aa27a8e000000002601ac42</x:v>
      </x:c>
      <x:c r="L48" s="60" t="str">
        <x:v>X03-09</x:v>
      </x:c>
      <x:c r="M48" s="60" t="str">
        <x:v>月日未明示年份，按采集时上下文推定2026；编辑日与首发日区分</x:v>
      </x:c>
    </x:row>
    <x:row r="49" ht="36" customHeight="1">
      <x:c r="A49" s="60" t="str">
        <x:v>耀悦</x:v>
      </x:c>
      <x:c r="B49" s="60" t="str">
        <x:v>买2送1，畅游大溪地，奢华邮轮+机票！</x:v>
      </x:c>
      <x:c r="C49" s="60" t="str">
        <x:v>编辑于 09-11</x:v>
      </x:c>
      <x:c r="D49" s="60" t="str">
        <x:v>2026-10-21</x:v>
      </x:c>
      <x:c r="E49" s="60" t="str">
        <x:v>逐篇正文及账号目录</x:v>
      </x:c>
      <x:c r="F49" s="60" t="n">
        <x:v>132</x:v>
      </x:c>
      <x:c r="G49" s="60"/>
      <x:c r="H49" s="60"/>
      <x:c r="I49" s="60" t="str">
        <x:v>品牌自发内容；平台广告标识未核实</x:v>
      </x:c>
      <x:c r="J49" s="60" t="str">
        <x:v>优惠或稀缺资源</x:v>
      </x:c>
      <x:c r="K49" s="60" t="str">
        <x:v>https://www.xiaohongshu.com/user/profile/63b3a40d0000000026005569/6a9fb3c2000000002b02427d</x:v>
      </x:c>
      <x:c r="L49" s="60" t="str">
        <x:v>X03-10</x:v>
      </x:c>
      <x:c r="M49" s="60" t="str">
        <x:v>月日未明示年份，按采集时上下文推定2026；编辑日与首发日区分</x:v>
      </x:c>
    </x:row>
    <x:row r="50" ht="36" customHeight="1">
      <x:c r="A50" s="60" t="str">
        <x:v>耀悦</x:v>
      </x:c>
      <x:c r="B50" s="60" t="str">
        <x:v>黄河三角洲科考,走进世界级候鸟迁徙保护区</x:v>
      </x:c>
      <x:c r="C50" s="60" t="str">
        <x:v>09-04</x:v>
      </x:c>
      <x:c r="D50" s="60" t="str">
        <x:v>2026-10-21</x:v>
      </x:c>
      <x:c r="E50" s="60" t="str">
        <x:v>逐篇正文及账号目录</x:v>
      </x:c>
      <x:c r="F50" s="60" t="n">
        <x:v>173</x:v>
      </x:c>
      <x:c r="G50" s="60"/>
      <x:c r="H50" s="60"/>
      <x:c r="I50" s="60" t="str">
        <x:v>品牌自发内容；平台广告标识未核实</x:v>
      </x:c>
      <x:c r="J50" s="60" t="str">
        <x:v>自然与科考</x:v>
      </x:c>
      <x:c r="K50" s="60" t="str">
        <x:v>https://www.xiaohongshu.com/user/profile/63b3a40d0000000026005569/6a9a3b94000000002b0245b1</x:v>
      </x:c>
      <x:c r="L50" s="60" t="str">
        <x:v>X03-11</x:v>
      </x:c>
      <x:c r="M50" s="60" t="str">
        <x:v>月日未明示年份，按采集时上下文推定2026；编辑日与首发日区分</x:v>
      </x:c>
    </x:row>
    <x:row r="51" ht="36" customHeight="1">
      <x:c r="A51" s="60" t="str">
        <x:v>耀悦</x:v>
      </x:c>
      <x:c r="B51" s="60" t="str">
        <x:v>从雨林到火山到，探索加勒比的小众目的地</x:v>
      </x:c>
      <x:c r="C51" s="60" t="str">
        <x:v>09-01</x:v>
      </x:c>
      <x:c r="D51" s="60" t="str">
        <x:v>2026-10-21</x:v>
      </x:c>
      <x:c r="E51" s="60" t="str">
        <x:v>逐篇正文及账号目录</x:v>
      </x:c>
      <x:c r="F51" s="60" t="n">
        <x:v>235</x:v>
      </x:c>
      <x:c r="G51" s="60"/>
      <x:c r="H51" s="60"/>
      <x:c r="I51" s="60" t="str">
        <x:v>品牌自发内容；平台广告标识未核实</x:v>
      </x:c>
      <x:c r="J51" s="60" t="str">
        <x:v>目的地与资源</x:v>
      </x:c>
      <x:c r="K51" s="60" t="str">
        <x:v>https://www.xiaohongshu.com/user/profile/63b3a40d0000000026005569/6a963a6a000000002601d781</x:v>
      </x:c>
      <x:c r="L51" s="60" t="str">
        <x:v>X03-12</x:v>
      </x:c>
      <x:c r="M51" s="60" t="str">
        <x:v>月日未明示年份，按采集时上下文推定2026；编辑日与首发日区分</x:v>
      </x:c>
    </x:row>
    <x:row r="52" ht="36" customHeight="1">
      <x:c r="A52" s="60" t="str">
        <x:v>耀悦</x:v>
      </x:c>
      <x:c r="B52" s="60" t="str">
        <x:v>这7条秋季路线，藏着华夏大地顶配级风景</x:v>
      </x:c>
      <x:c r="C52" s="60" t="str">
        <x:v>08-26</x:v>
      </x:c>
      <x:c r="D52" s="60" t="str">
        <x:v>2026-10-21</x:v>
      </x:c>
      <x:c r="E52" s="60" t="str">
        <x:v>逐篇正文及账号目录</x:v>
      </x:c>
      <x:c r="F52" s="60" t="n">
        <x:v>45</x:v>
      </x:c>
      <x:c r="G52" s="60"/>
      <x:c r="H52" s="60"/>
      <x:c r="I52" s="60" t="str">
        <x:v>品牌自发内容；平台广告标识未核实</x:v>
      </x:c>
      <x:c r="J52" s="60" t="str">
        <x:v>目的地与资源</x:v>
      </x:c>
      <x:c r="K52" s="60" t="str">
        <x:v>https://www.xiaohongshu.com/user/profile/63b3a40d0000000026005569/6a8e9d33000000002502623a</x:v>
      </x:c>
      <x:c r="L52" s="60" t="str">
        <x:v>X03-13</x:v>
      </x:c>
      <x:c r="M52" s="60" t="str">
        <x:v>月日未明示年份，按采集时上下文推定2026；编辑日与首发日区分</x:v>
      </x:c>
    </x:row>
    <x:row r="53" ht="36" customHeight="1">
      <x:c r="A53" s="60" t="str">
        <x:v>耀悦</x:v>
      </x:c>
      <x:c r="B53" s="60" t="str">
        <x:v>请3天休13天！这个悠长假期交给奢华邮轮</x:v>
      </x:c>
      <x:c r="C53" s="60" t="str">
        <x:v>08-24</x:v>
      </x:c>
      <x:c r="D53" s="60" t="str">
        <x:v>2026-10-21</x:v>
      </x:c>
      <x:c r="E53" s="60" t="str">
        <x:v>逐篇正文及账号目录</x:v>
      </x:c>
      <x:c r="F53" s="60" t="n">
        <x:v>33</x:v>
      </x:c>
      <x:c r="G53" s="60"/>
      <x:c r="H53" s="60"/>
      <x:c r="I53" s="60" t="str">
        <x:v>品牌自发内容；平台广告标识未核实</x:v>
      </x:c>
      <x:c r="J53" s="60" t="str">
        <x:v>假期安排</x:v>
      </x:c>
      <x:c r="K53" s="60" t="str">
        <x:v>https://www.xiaohongshu.com/user/profile/63b3a40d0000000026005569/6a8be13d000000002a02e378</x:v>
      </x:c>
      <x:c r="L53" s="60" t="str">
        <x:v>X03-14</x:v>
      </x:c>
      <x:c r="M53" s="60" t="str">
        <x:v>月日未明示年份，按采集时上下文推定2026；编辑日与首发日区分</x:v>
      </x:c>
    </x:row>
    <x:row r="54" ht="36" customHeight="1">
      <x:c r="A54" s="60" t="str">
        <x:v>耀悦</x:v>
      </x:c>
      <x:c r="B54" s="60" t="str">
        <x:v>连休13天！奔赴南半球，与春天来场约会！</x:v>
      </x:c>
      <x:c r="C54" s="60" t="str">
        <x:v>08-21</x:v>
      </x:c>
      <x:c r="D54" s="60" t="str">
        <x:v>2026-10-21</x:v>
      </x:c>
      <x:c r="E54" s="60" t="str">
        <x:v>逐篇正文及账号目录</x:v>
      </x:c>
      <x:c r="F54" s="60" t="n">
        <x:v>26</x:v>
      </x:c>
      <x:c r="G54" s="60"/>
      <x:c r="H54" s="60"/>
      <x:c r="I54" s="60" t="str">
        <x:v>品牌自发内容；平台广告标识未核实</x:v>
      </x:c>
      <x:c r="J54" s="60" t="str">
        <x:v>假期安排</x:v>
      </x:c>
      <x:c r="K54" s="60" t="str">
        <x:v>https://www.xiaohongshu.com/user/profile/63b3a40d0000000026005569/6a880ebe00000000310142c0</x:v>
      </x:c>
      <x:c r="L54" s="60" t="str">
        <x:v>X03-15</x:v>
      </x:c>
      <x:c r="M54" s="60" t="str">
        <x:v>月日未明示年份，按采集时上下文推定2026；编辑日与首发日区分</x:v>
      </x:c>
    </x:row>
    <x:row r="55" ht="36" customHeight="1">
      <x:c r="A55" s="60" t="str">
        <x:v>耀悦</x:v>
      </x:c>
      <x:c r="B55" s="60" t="str">
        <x:v>南澳大利亚，解锁澳洲的另一种打开方式</x:v>
      </x:c>
      <x:c r="C55" s="60" t="str">
        <x:v>08-21</x:v>
      </x:c>
      <x:c r="D55" s="60" t="str">
        <x:v>2026-10-21</x:v>
      </x:c>
      <x:c r="E55" s="60" t="str">
        <x:v>逐篇正文及账号目录</x:v>
      </x:c>
      <x:c r="F55" s="60" t="n">
        <x:v>573</x:v>
      </x:c>
      <x:c r="G55" s="60"/>
      <x:c r="H55" s="60"/>
      <x:c r="I55" s="60" t="str">
        <x:v>品牌自发内容；平台广告标识未核实</x:v>
      </x:c>
      <x:c r="J55" s="60" t="str">
        <x:v>目的地与资源</x:v>
      </x:c>
      <x:c r="K55" s="60" t="str">
        <x:v>https://www.xiaohongshu.com/user/profile/63b3a40d0000000026005569/6a87c9450000000035023f78</x:v>
      </x:c>
      <x:c r="L55" s="60" t="str">
        <x:v>X03-16</x:v>
      </x:c>
      <x:c r="M55" s="60" t="str">
        <x:v>月日未明示年份，按采集时上下文推定2026；编辑日与首发日区分</x:v>
      </x:c>
    </x:row>
    <x:row r="56" ht="36" customHeight="1">
      <x:c r="A56" s="60" t="str">
        <x:v>耀悦</x:v>
      </x:c>
      <x:c r="B56" s="60" t="str">
        <x:v>6折早鸟特惠，全新长江探索号2027航线</x:v>
      </x:c>
      <x:c r="C56" s="60" t="str">
        <x:v>08-19</x:v>
      </x:c>
      <x:c r="D56" s="60" t="str">
        <x:v>2026-10-21</x:v>
      </x:c>
      <x:c r="E56" s="60" t="str">
        <x:v>逐篇正文及账号目录</x:v>
      </x:c>
      <x:c r="F56" s="60" t="n">
        <x:v>168</x:v>
      </x:c>
      <x:c r="G56" s="60"/>
      <x:c r="H56" s="60"/>
      <x:c r="I56" s="60" t="str">
        <x:v>品牌自发内容；平台广告标识未核实</x:v>
      </x:c>
      <x:c r="J56" s="60" t="str">
        <x:v>优惠或稀缺资源</x:v>
      </x:c>
      <x:c r="K56" s="60" t="str">
        <x:v>https://www.xiaohongshu.com/user/profile/63b3a40d0000000026005569/6a852322000000002500950a</x:v>
      </x:c>
      <x:c r="L56" s="60" t="str">
        <x:v>X03-17</x:v>
      </x:c>
      <x:c r="M56" s="60" t="str">
        <x:v>月日未明示年份，按采集时上下文推定2026；编辑日与首发日区分</x:v>
      </x:c>
    </x:row>
    <x:row r="57" ht="36" customHeight="1">
      <x:c r="A57" s="60" t="str">
        <x:v>耀悦</x:v>
      </x:c>
      <x:c r="B57" s="60" t="str">
        <x:v>请3天休13天！北半球6条神仙旅行路线</x:v>
      </x:c>
      <x:c r="C57" s="60" t="str">
        <x:v>08-14</x:v>
      </x:c>
      <x:c r="D57" s="60" t="str">
        <x:v>2026-10-21</x:v>
      </x:c>
      <x:c r="E57" s="60" t="str">
        <x:v>逐篇正文及账号目录</x:v>
      </x:c>
      <x:c r="F57" s="60" t="n">
        <x:v>120</x:v>
      </x:c>
      <x:c r="G57" s="60"/>
      <x:c r="H57" s="60"/>
      <x:c r="I57" s="60" t="str">
        <x:v>品牌自发内容；平台广告标识未核实</x:v>
      </x:c>
      <x:c r="J57" s="60" t="str">
        <x:v>假期安排</x:v>
      </x:c>
      <x:c r="K57" s="60" t="str">
        <x:v>https://www.xiaohongshu.com/user/profile/63b3a40d0000000026005569/6a7eb8d60000000033034680</x:v>
      </x:c>
      <x:c r="L57" s="60" t="str">
        <x:v>X03-18</x:v>
      </x:c>
      <x:c r="M57" s="60" t="str">
        <x:v>月日未明示年份，按采集时上下文推定2026；编辑日与首发日区分</x:v>
      </x:c>
    </x:row>
    <x:row r="58" ht="36" customHeight="1">
      <x:c r="A58" s="60" t="str">
        <x:v>耀悦</x:v>
      </x:c>
      <x:c r="B58" s="60" t="str">
        <x:v>立减3000，踏上豪华专列，畅游滇西秘境</x:v>
      </x:c>
      <x:c r="C58" s="60" t="str">
        <x:v>编辑于 09-01</x:v>
      </x:c>
      <x:c r="D58" s="60" t="str">
        <x:v>2026-10-21</x:v>
      </x:c>
      <x:c r="E58" s="60" t="str">
        <x:v>逐篇正文及账号目录</x:v>
      </x:c>
      <x:c r="F58" s="60" t="n">
        <x:v>275</x:v>
      </x:c>
      <x:c r="G58" s="60"/>
      <x:c r="H58" s="60"/>
      <x:c r="I58" s="60" t="str">
        <x:v>品牌自发内容；平台广告标识未核实</x:v>
      </x:c>
      <x:c r="J58" s="60" t="str">
        <x:v>优惠或稀缺资源</x:v>
      </x:c>
      <x:c r="K58" s="60" t="str">
        <x:v>https://www.xiaohongshu.com/user/profile/63b3a40d0000000026005569/6a7c3e4c000000002500e101</x:v>
      </x:c>
      <x:c r="L58" s="60" t="str">
        <x:v>X03-19</x:v>
      </x:c>
      <x:c r="M58" s="60" t="str">
        <x:v>月日未明示年份，按采集时上下文推定2026；编辑日与首发日区分</x:v>
      </x:c>
    </x:row>
    <x:row r="59" ht="36" customHeight="1">
      <x:c r="A59" s="60" t="str">
        <x:v>耀悦</x:v>
      </x:c>
      <x:c r="B59" s="60" t="str">
        <x:v>仅4间房得Belmond豪华河轮，畅游左岸美景</x:v>
      </x:c>
      <x:c r="C59" s="60" t="str">
        <x:v>编辑于 08-07</x:v>
      </x:c>
      <x:c r="D59" s="60" t="str">
        <x:v>2026-10-21</x:v>
      </x:c>
      <x:c r="E59" s="60" t="str">
        <x:v>逐篇正文及账号目录</x:v>
      </x:c>
      <x:c r="F59" s="60" t="n">
        <x:v>200</x:v>
      </x:c>
      <x:c r="G59" s="60"/>
      <x:c r="H59" s="60"/>
      <x:c r="I59" s="60" t="str">
        <x:v>品牌自发内容；平台广告标识未核实</x:v>
      </x:c>
      <x:c r="J59" s="60" t="str">
        <x:v>优惠或稀缺资源</x:v>
      </x:c>
      <x:c r="K59" s="60" t="str">
        <x:v>https://www.xiaohongshu.com/user/profile/63b3a40d0000000026005569/6a7585f8000000003300d9ea</x:v>
      </x:c>
      <x:c r="L59" s="60" t="str">
        <x:v>X03-20</x:v>
      </x:c>
      <x:c r="M59" s="60" t="str">
        <x:v>月日未明示年份，按采集时上下文推定2026；编辑日与首发日区分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9744e3179d14168"/>
  </x:tableParts>
</x:worksheet>
</file>

<file path=xl/worksheets/sheet12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5" hidden="0" customWidth="1"/>
    <x:col min="2" max="2" width="14" hidden="0" customWidth="1"/>
    <x:col min="3" max="3" width="20" hidden="0" customWidth="1"/>
    <x:col min="4" max="4" width="15" hidden="0" customWidth="1"/>
    <x:col min="5" max="5" width="18" hidden="0" customWidth="1"/>
    <x:col min="6" max="6" width="15" hidden="0" customWidth="1"/>
    <x:col min="7" max="7" width="24" hidden="0" customWidth="1"/>
    <x:col min="8" max="8" width="50" hidden="0" customWidth="1"/>
  </x:cols>
  <x:sheetData>
    <x:row r="1" ht="30" customHeight="1">
      <x:c r="A1" s="53" t="str">
        <x:v>宏观数据</x:v>
      </x:c>
      <x:c r="B1" s="53"/>
      <x:c r="C1" s="53"/>
      <x:c r="D1" s="53"/>
      <x:c r="E1" s="53"/>
      <x:c r="F1" s="53"/>
      <x:c r="G1" s="53"/>
      <x:c r="H1" s="53"/>
    </x:row>
    <x:row r="2" ht="32" customHeight="1">
      <x:c r="A2" s="54" t="str">
        <x:v>采集截止 2026-10-21　|　不同市场不能相加；用户非付费会员；第三方方法限制在来源表</x:v>
      </x:c>
      <x:c r="B2" s="54"/>
      <x:c r="C2" s="54"/>
      <x:c r="D2" s="54"/>
      <x:c r="E2" s="54"/>
      <x:c r="F2" s="54"/>
      <x:c r="G2" s="54"/>
      <x:c r="H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</x:row>
    <x:row r="4" ht="30" customHeight="1">
      <x:c r="A4" s="59" t="str">
        <x:v>指标</x:v>
      </x:c>
      <x:c r="B4" s="59" t="str">
        <x:v>统计年</x:v>
      </x:c>
      <x:c r="C4" s="59" t="str">
        <x:v>数值</x:v>
      </x:c>
      <x:c r="D4" s="59" t="str">
        <x:v>单位</x:v>
      </x:c>
      <x:c r="E4" s="59" t="str">
        <x:v>地区</x:v>
      </x:c>
      <x:c r="F4" s="59" t="str">
        <x:v>源ID</x:v>
      </x:c>
      <x:c r="G4" s="59" t="str">
        <x:v>证据类别</x:v>
      </x:c>
      <x:c r="H4" s="59" t="str">
        <x:v>口径与限制</x:v>
      </x:c>
    </x:row>
    <x:row r="5" ht="28" customHeight="1">
      <x:c r="A5" s="60" t="str">
        <x:v>互联网婚恋市场规模</x:v>
      </x:c>
      <x:c r="B5" s="60" t="n">
        <x:v>2021</x:v>
      </x:c>
      <x:c r="C5" s="60" t="n">
        <x:v>75</x:v>
      </x:c>
      <x:c r="D5" s="60" t="str">
        <x:v>亿元</x:v>
      </x:c>
      <x:c r="E5" s="60" t="str">
        <x:v>中国</x:v>
      </x:c>
      <x:c r="F5" s="60" t="str">
        <x:v>S02</x:v>
      </x:c>
      <x:c r="G5" s="60" t="str">
        <x:v>第三方估算</x:v>
      </x:c>
      <x:c r="H5" s="60" t="str">
        <x:v>电数宝口径，完整方法未披露</x:v>
      </x:c>
    </x:row>
    <x:row r="6" ht="28" customHeight="1">
      <x:c r="A6" s="60" t="str">
        <x:v>互联网婚恋用户规模</x:v>
      </x:c>
      <x:c r="B6" s="60" t="n">
        <x:v>2021</x:v>
      </x:c>
      <x:c r="C6" s="60" t="n">
        <x:v>5680</x:v>
      </x:c>
      <x:c r="D6" s="60" t="str">
        <x:v>万人</x:v>
      </x:c>
      <x:c r="E6" s="60" t="str">
        <x:v>中国</x:v>
      </x:c>
      <x:c r="F6" s="60" t="str">
        <x:v>S02</x:v>
      </x:c>
      <x:c r="G6" s="60" t="str">
        <x:v>第三方估算</x:v>
      </x:c>
      <x:c r="H6" s="60" t="str">
        <x:v>不是付费人数或月活</x:v>
      </x:c>
    </x:row>
    <x:row r="7" ht="28" customHeight="1">
      <x:c r="A7" s="60" t="str">
        <x:v>互联网婚恋市场规模</x:v>
      </x:c>
      <x:c r="B7" s="60" t="n">
        <x:v>2022</x:v>
      </x:c>
      <x:c r="C7" s="60" t="n">
        <x:v>83</x:v>
      </x:c>
      <x:c r="D7" s="60" t="str">
        <x:v>亿元</x:v>
      </x:c>
      <x:c r="E7" s="60" t="str">
        <x:v>中国</x:v>
      </x:c>
      <x:c r="F7" s="60" t="str">
        <x:v>S02</x:v>
      </x:c>
      <x:c r="G7" s="60" t="str">
        <x:v>第三方估算</x:v>
      </x:c>
      <x:c r="H7" s="60" t="str">
        <x:v>电数宝口径，完整方法未披露</x:v>
      </x:c>
    </x:row>
    <x:row r="8" ht="28" customHeight="1">
      <x:c r="A8" s="60" t="str">
        <x:v>互联网婚恋用户规模</x:v>
      </x:c>
      <x:c r="B8" s="60" t="n">
        <x:v>2022</x:v>
      </x:c>
      <x:c r="C8" s="60" t="n">
        <x:v>6190</x:v>
      </x:c>
      <x:c r="D8" s="60" t="str">
        <x:v>万人</x:v>
      </x:c>
      <x:c r="E8" s="60" t="str">
        <x:v>中国</x:v>
      </x:c>
      <x:c r="F8" s="60" t="str">
        <x:v>S02</x:v>
      </x:c>
      <x:c r="G8" s="60" t="str">
        <x:v>第三方估算</x:v>
      </x:c>
      <x:c r="H8" s="60" t="str">
        <x:v>不是付费人数或月活</x:v>
      </x:c>
    </x:row>
    <x:row r="9" ht="28" customHeight="1">
      <x:c r="A9" s="60" t="str">
        <x:v>互联网婚恋市场规模</x:v>
      </x:c>
      <x:c r="B9" s="60" t="n">
        <x:v>2023</x:v>
      </x:c>
      <x:c r="C9" s="60" t="n">
        <x:v>91</x:v>
      </x:c>
      <x:c r="D9" s="60" t="str">
        <x:v>亿元</x:v>
      </x:c>
      <x:c r="E9" s="60" t="str">
        <x:v>中国</x:v>
      </x:c>
      <x:c r="F9" s="60" t="str">
        <x:v>S02</x:v>
      </x:c>
      <x:c r="G9" s="60" t="str">
        <x:v>第三方估算</x:v>
      </x:c>
      <x:c r="H9" s="60" t="str">
        <x:v>电数宝口径，完整方法未披露</x:v>
      </x:c>
    </x:row>
    <x:row r="10" ht="28" customHeight="1">
      <x:c r="A10" s="60" t="str">
        <x:v>互联网婚恋用户规模</x:v>
      </x:c>
      <x:c r="B10" s="60" t="n">
        <x:v>2023</x:v>
      </x:c>
      <x:c r="C10" s="60" t="n">
        <x:v>6780</x:v>
      </x:c>
      <x:c r="D10" s="60" t="str">
        <x:v>万人</x:v>
      </x:c>
      <x:c r="E10" s="60" t="str">
        <x:v>中国</x:v>
      </x:c>
      <x:c r="F10" s="60" t="str">
        <x:v>S02</x:v>
      </x:c>
      <x:c r="G10" s="60" t="str">
        <x:v>第三方估算</x:v>
      </x:c>
      <x:c r="H10" s="60" t="str">
        <x:v>不是付费人数或月活</x:v>
      </x:c>
    </x:row>
    <x:row r="11" ht="28" customHeight="1">
      <x:c r="A11" s="60" t="str">
        <x:v>互联网婚恋市场规模</x:v>
      </x:c>
      <x:c r="B11" s="60" t="n">
        <x:v>2024</x:v>
      </x:c>
      <x:c r="C11" s="60" t="n">
        <x:v>98</x:v>
      </x:c>
      <x:c r="D11" s="60" t="str">
        <x:v>亿元</x:v>
      </x:c>
      <x:c r="E11" s="60" t="str">
        <x:v>中国</x:v>
      </x:c>
      <x:c r="F11" s="60" t="str">
        <x:v>S02</x:v>
      </x:c>
      <x:c r="G11" s="60" t="str">
        <x:v>第三方估算</x:v>
      </x:c>
      <x:c r="H11" s="60" t="str">
        <x:v>电数宝口径，完整方法未披露</x:v>
      </x:c>
    </x:row>
    <x:row r="12" ht="28" customHeight="1">
      <x:c r="A12" s="60" t="str">
        <x:v>互联网婚恋用户规模</x:v>
      </x:c>
      <x:c r="B12" s="60" t="n">
        <x:v>2024</x:v>
      </x:c>
      <x:c r="C12" s="60" t="n">
        <x:v>7750</x:v>
      </x:c>
      <x:c r="D12" s="60" t="str">
        <x:v>万人</x:v>
      </x:c>
      <x:c r="E12" s="60" t="str">
        <x:v>中国</x:v>
      </x:c>
      <x:c r="F12" s="60" t="str">
        <x:v>S02</x:v>
      </x:c>
      <x:c r="G12" s="60" t="str">
        <x:v>第三方估算</x:v>
      </x:c>
      <x:c r="H12" s="60" t="str">
        <x:v>不是付费人数或月活</x:v>
      </x:c>
    </x:row>
    <x:row r="13" ht="28" customHeight="1">
      <x:c r="A13" s="60" t="str">
        <x:v>互联网婚恋市场规模</x:v>
      </x:c>
      <x:c r="B13" s="60" t="n">
        <x:v>2025</x:v>
      </x:c>
      <x:c r="C13" s="60" t="n">
        <x:v>103.5</x:v>
      </x:c>
      <x:c r="D13" s="60" t="str">
        <x:v>亿元</x:v>
      </x:c>
      <x:c r="E13" s="60" t="str">
        <x:v>中国</x:v>
      </x:c>
      <x:c r="F13" s="60" t="str">
        <x:v>S02</x:v>
      </x:c>
      <x:c r="G13" s="60" t="str">
        <x:v>第三方估算</x:v>
      </x:c>
      <x:c r="H13" s="60" t="str">
        <x:v>电数宝口径，完整方法未披露</x:v>
      </x:c>
    </x:row>
    <x:row r="14" ht="28" customHeight="1">
      <x:c r="A14" s="60" t="str">
        <x:v>互联网婚恋用户规模</x:v>
      </x:c>
      <x:c r="B14" s="60" t="n">
        <x:v>2025</x:v>
      </x:c>
      <x:c r="C14" s="60" t="n">
        <x:v>8450</x:v>
      </x:c>
      <x:c r="D14" s="60" t="str">
        <x:v>万人</x:v>
      </x:c>
      <x:c r="E14" s="60" t="str">
        <x:v>中国</x:v>
      </x:c>
      <x:c r="F14" s="60" t="str">
        <x:v>S02</x:v>
      </x:c>
      <x:c r="G14" s="60" t="str">
        <x:v>第三方估算</x:v>
      </x:c>
      <x:c r="H14" s="60" t="str">
        <x:v>不是付费人数或月活</x:v>
      </x:c>
    </x:row>
    <x:row r="15" ht="28" customHeight="1">
      <x:c r="A15" s="60" t="str">
        <x:v>结婚登记</x:v>
      </x:c>
      <x:c r="B15" s="60" t="n">
        <x:v>2021</x:v>
      </x:c>
      <x:c r="C15" s="60" t="n">
        <x:v>764.3</x:v>
      </x:c>
      <x:c r="D15" s="60" t="str">
        <x:v>万对</x:v>
      </x:c>
      <x:c r="E15" s="60" t="str">
        <x:v>全国</x:v>
      </x:c>
      <x:c r="F15" s="60" t="str">
        <x:v>S06</x:v>
      </x:c>
      <x:c r="G15" s="60" t="str">
        <x:v>官方统计或转引</x:v>
      </x:c>
      <x:c r="H15" s="60" t="str">
        <x:v>年度口径；2023原文未取得，2025为政务转引</x:v>
      </x:c>
    </x:row>
    <x:row r="16" ht="28" customHeight="1">
      <x:c r="A16" s="60" t="str">
        <x:v>结婚登记</x:v>
      </x:c>
      <x:c r="B16" s="60" t="n">
        <x:v>2022</x:v>
      </x:c>
      <x:c r="C16" s="60" t="n">
        <x:v>683.5</x:v>
      </x:c>
      <x:c r="D16" s="60" t="str">
        <x:v>万对</x:v>
      </x:c>
      <x:c r="E16" s="60" t="str">
        <x:v>全国</x:v>
      </x:c>
      <x:c r="F16" s="60" t="str">
        <x:v>S07</x:v>
      </x:c>
      <x:c r="G16" s="60" t="str">
        <x:v>官方统计或转引</x:v>
      </x:c>
      <x:c r="H16" s="60" t="str">
        <x:v>年度口径；2023原文未取得，2025为政务转引</x:v>
      </x:c>
    </x:row>
    <x:row r="17" ht="28" customHeight="1">
      <x:c r="A17" s="60" t="str">
        <x:v>结婚登记</x:v>
      </x:c>
      <x:c r="B17" s="60" t="n">
        <x:v>2023</x:v>
      </x:c>
      <x:c r="C17" s="60" t="n">
        <x:v>768.2</x:v>
      </x:c>
      <x:c r="D17" s="60" t="str">
        <x:v>万对</x:v>
      </x:c>
      <x:c r="E17" s="60" t="str">
        <x:v>全国</x:v>
      </x:c>
      <x:c r="F17" s="60" t="str">
        <x:v>S08</x:v>
      </x:c>
      <x:c r="G17" s="60" t="str">
        <x:v>官方统计或转引</x:v>
      </x:c>
      <x:c r="H17" s="60" t="str">
        <x:v>年度口径；2023原文未取得，2025为政务转引</x:v>
      </x:c>
    </x:row>
    <x:row r="18" ht="28" customHeight="1">
      <x:c r="A18" s="60" t="str">
        <x:v>结婚登记</x:v>
      </x:c>
      <x:c r="B18" s="60" t="n">
        <x:v>2024</x:v>
      </x:c>
      <x:c r="C18" s="60" t="n">
        <x:v>610.6</x:v>
      </x:c>
      <x:c r="D18" s="60" t="str">
        <x:v>万对</x:v>
      </x:c>
      <x:c r="E18" s="60" t="str">
        <x:v>全国</x:v>
      </x:c>
      <x:c r="F18" s="60" t="str">
        <x:v>S05</x:v>
      </x:c>
      <x:c r="G18" s="60" t="str">
        <x:v>官方统计或转引</x:v>
      </x:c>
      <x:c r="H18" s="60" t="str">
        <x:v>年度口径；2023原文未取得，2025为政务转引</x:v>
      </x:c>
    </x:row>
    <x:row r="19" ht="28" customHeight="1">
      <x:c r="A19" s="60" t="str">
        <x:v>结婚登记</x:v>
      </x:c>
      <x:c r="B19" s="60" t="n">
        <x:v>2025</x:v>
      </x:c>
      <x:c r="C19" s="60" t="n">
        <x:v>676.5</x:v>
      </x:c>
      <x:c r="D19" s="60" t="str">
        <x:v>万对</x:v>
      </x:c>
      <x:c r="E19" s="60" t="str">
        <x:v>全国</x:v>
      </x:c>
      <x:c r="F19" s="60" t="str">
        <x:v>S04</x:v>
      </x:c>
      <x:c r="G19" s="60" t="str">
        <x:v>官方统计或转引</x:v>
      </x:c>
      <x:c r="H19" s="60" t="str">
        <x:v>年度口径；2023原文未取得，2025为政务转引</x:v>
      </x:c>
    </x:row>
    <x:row r="20" ht="28" customHeight="1">
      <x:c r="A20" s="60" t="str">
        <x:v>居民人均可支配收入</x:v>
      </x:c>
      <x:c r="B20" s="60" t="n">
        <x:v>2025</x:v>
      </x:c>
      <x:c r="C20" s="60" t="n">
        <x:v>43377</x:v>
      </x:c>
      <x:c r="D20" s="60" t="str">
        <x:v>元/人/年</x:v>
      </x:c>
      <x:c r="E20" s="60" t="str">
        <x:v>中国</x:v>
      </x:c>
      <x:c r="F20" s="60" t="str">
        <x:v>S09</x:v>
      </x:c>
      <x:c r="G20" s="60" t="str">
        <x:v>实绩</x:v>
      </x:c>
      <x:c r="H20" s="60" t="str"/>
    </x:row>
    <x:row r="21" ht="28" customHeight="1">
      <x:c r="A21" s="60" t="str">
        <x:v>居民人均可支配收入</x:v>
      </x:c>
      <x:c r="B21" s="60" t="n">
        <x:v>2025</x:v>
      </x:c>
      <x:c r="C21" s="60" t="n">
        <x:v>89090</x:v>
      </x:c>
      <x:c r="D21" s="60" t="str">
        <x:v>元/人/年</x:v>
      </x:c>
      <x:c r="E21" s="60" t="str">
        <x:v>北京</x:v>
      </x:c>
      <x:c r="F21" s="60" t="str">
        <x:v>S14</x:v>
      </x:c>
      <x:c r="G21" s="60" t="str">
        <x:v>实绩</x:v>
      </x:c>
      <x:c r="H21" s="60" t="str"/>
    </x:row>
    <x:row r="22" ht="28" customHeight="1">
      <x:c r="A22" s="60" t="str">
        <x:v>居民人均可支配收入</x:v>
      </x:c>
      <x:c r="B22" s="60" t="n">
        <x:v>2025</x:v>
      </x:c>
      <x:c r="C22" s="60" t="n">
        <x:v>91987</x:v>
      </x:c>
      <x:c r="D22" s="60" t="str">
        <x:v>元/人/年</x:v>
      </x:c>
      <x:c r="E22" s="60" t="str">
        <x:v>上海</x:v>
      </x:c>
      <x:c r="F22" s="60" t="str">
        <x:v>S15</x:v>
      </x:c>
      <x:c r="G22" s="60" t="str">
        <x:v>实绩</x:v>
      </x:c>
      <x:c r="H22" s="60" t="str"/>
    </x:row>
    <x:row r="23" ht="28" customHeight="1">
      <x:c r="A23" s="60" t="str">
        <x:v>居民人均可支配收入</x:v>
      </x:c>
      <x:c r="B23" s="60" t="n">
        <x:v>2025</x:v>
      </x:c>
      <x:c r="C23" s="60" t="n">
        <x:v>84945</x:v>
      </x:c>
      <x:c r="D23" s="60" t="str">
        <x:v>元/人/年</x:v>
      </x:c>
      <x:c r="E23" s="60" t="str">
        <x:v>深圳</x:v>
      </x:c>
      <x:c r="F23" s="60" t="str">
        <x:v>S16</x:v>
      </x:c>
      <x:c r="G23" s="60" t="str">
        <x:v>实绩</x:v>
      </x:c>
      <x:c r="H23" s="60" t="str"/>
    </x:row>
    <x:row r="24" ht="28" customHeight="1">
      <x:c r="A24" s="60" t="str">
        <x:v>网民</x:v>
      </x:c>
      <x:c r="B24" s="60" t="n">
        <x:v>2025</x:v>
      </x:c>
      <x:c r="C24" s="60" t="n">
        <x:v>11.25</x:v>
      </x:c>
      <x:c r="D24" s="60" t="str">
        <x:v>亿人</x:v>
      </x:c>
      <x:c r="E24" s="60" t="str">
        <x:v>中国</x:v>
      </x:c>
      <x:c r="F24" s="60" t="str">
        <x:v>S01</x:v>
      </x:c>
      <x:c r="G24" s="60" t="str">
        <x:v>实绩</x:v>
      </x:c>
      <x:c r="H24" s="60" t="str"/>
    </x:row>
    <x:row r="25" ht="28" customHeight="1">
      <x:c r="A25" s="60" t="str">
        <x:v>即时通信用户</x:v>
      </x:c>
      <x:c r="B25" s="60" t="n">
        <x:v>2025</x:v>
      </x:c>
      <x:c r="C25" s="60" t="n">
        <x:v>10.94</x:v>
      </x:c>
      <x:c r="D25" s="60" t="str">
        <x:v>亿人</x:v>
      </x:c>
      <x:c r="E25" s="60" t="str">
        <x:v>中国</x:v>
      </x:c>
      <x:c r="F25" s="60" t="str">
        <x:v>S01</x:v>
      </x:c>
      <x:c r="G25" s="60" t="str">
        <x:v>实绩</x:v>
      </x:c>
      <x:c r="H25" s="60" t="str"/>
    </x:row>
    <x:row r="26" ht="28" customHeight="1">
      <x:c r="A26" s="60" t="str">
        <x:v>个人可投资资产超千万群体</x:v>
      </x:c>
      <x:c r="B26" s="60" t="n">
        <x:v>2022</x:v>
      </x:c>
      <x:c r="C26" s="60" t="n">
        <x:v>316</x:v>
      </x:c>
      <x:c r="D26" s="60" t="str">
        <x:v>万人</x:v>
      </x:c>
      <x:c r="E26" s="60" t="str">
        <x:v>中国</x:v>
      </x:c>
      <x:c r="F26" s="60" t="str">
        <x:v>S10</x:v>
      </x:c>
      <x:c r="G26" s="60" t="str">
        <x:v>模型估算</x:v>
      </x:c>
      <x:c r="H26" s="60" t="str">
        <x:v>历史数据，不作为2026目标客户池</x:v>
      </x:c>
    </x:row>
    <x:row r="27" ht="28" customHeight="1">
      <x:c r="A27" s="60" t="str">
        <x:v>体验服务预算增加意向</x:v>
      </x:c>
      <x:c r="B27" s="60" t="n">
        <x:v>2026</x:v>
      </x:c>
      <x:c r="C27" s="60" t="n">
        <x:v>0.12</x:v>
      </x:c>
      <x:c r="D27" s="60" t="str">
        <x:v>相对预算变化</x:v>
      </x:c>
      <x:c r="E27" s="60" t="str">
        <x:v>胡润受访样本</x:v>
      </x:c>
      <x:c r="F27" s="60" t="str">
        <x:v>S11</x:v>
      </x:c>
      <x:c r="G27" s="60" t="str">
        <x:v>消费意向</x:v>
      </x:c>
      <x:c r="H27" s="60" t="str">
        <x:v>470人，非实际增长</x:v>
      </x:c>
    </x:row>
    <x:row r="28" ht="36" customHeight="1">
      <x:c r="A28" s="60" t="str">
        <x:v>旅行支出净增加意向</x:v>
      </x:c>
      <x:c r="B28" s="60" t="n">
        <x:v>2026</x:v>
      </x:c>
      <x:c r="C28" s="60" t="n">
        <x:v>0.58</x:v>
      </x:c>
      <x:c r="D28" s="60" t="str">
        <x:v>增加比例减减少比例</x:v>
      </x:c>
      <x:c r="E28" s="60" t="str">
        <x:v>胡润受访样本</x:v>
      </x:c>
      <x:c r="F28" s="60" t="str">
        <x:v>S11</x:v>
      </x:c>
      <x:c r="G28" s="60" t="str">
        <x:v>消费意向</x:v>
      </x:c>
      <x:c r="H28" s="60" t="str">
        <x:v>不是58%的人增加支出</x:v>
      </x:c>
    </x:row>
    <x:row r="29" ht="28" customHeight="1">
      <x:c r="A29" s="60" t="str">
        <x:v>挚文集团营业收入</x:v>
      </x:c>
      <x:c r="B29" s="60" t="n">
        <x:v>2025</x:v>
      </x:c>
      <x:c r="C29" s="60" t="n">
        <x:v>103.671</x:v>
      </x:c>
      <x:c r="D29" s="60" t="str">
        <x:v>亿元</x:v>
      </x:c>
      <x:c r="E29" s="60" t="str">
        <x:v>集团全球</x:v>
      </x:c>
      <x:c r="F29" s="60" t="str">
        <x:v>S12</x:v>
      </x:c>
      <x:c r="G29" s="60" t="str">
        <x:v>业绩发布</x:v>
      </x:c>
      <x:c r="H29" s="60" t="str">
        <x:v>含海外，非中国婚恋行业规模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56629d892c84c78"/>
  </x:tableParts>
</x:worksheet>
</file>

<file path=xl/worksheets/sheet13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30" hidden="0" customWidth="1"/>
    <x:col min="5" max="5" width="40" hidden="0" customWidth="1"/>
    <x:col min="6" max="6" width="42" hidden="0" customWidth="1"/>
    <x:col min="7" max="7" width="27" hidden="0" customWidth="1"/>
    <x:col min="8" max="8" width="43" hidden="0" customWidth="1"/>
    <x:col min="9" max="9" width="28" hidden="0" customWidth="1"/>
    <x:col min="10" max="10" width="19" hidden="0" customWidth="1"/>
  </x:cols>
  <x:sheetData>
    <x:row r="1" ht="30" customHeight="1">
      <x:c r="A1" s="53" t="str">
        <x:v>机构地图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32" customHeight="1">
      <x:c r="A2" s="54" t="str">
        <x:v>采集截止 2026-10-21　|　41条去重体系，不是41家直接竞品；跨城业务须核实当地实际供给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0" customHeight="1">
      <x:c r="A4" s="59" t="str">
        <x:v>机构ID</x:v>
      </x:c>
      <x:c r="B4" s="59" t="str">
        <x:v>品牌或机构</x:v>
      </x:c>
      <x:c r="C4" s="59" t="str">
        <x:v>分类</x:v>
      </x:c>
      <x:c r="D4" s="59" t="str">
        <x:v>城市或覆盖</x:v>
      </x:c>
      <x:c r="E4" s="59" t="str">
        <x:v>模式</x:v>
      </x:c>
      <x:c r="F4" s="59" t="str">
        <x:v>目标客户定位</x:v>
      </x:c>
      <x:c r="G4" s="59" t="str">
        <x:v>比较关系</x:v>
      </x:c>
      <x:c r="H4" s="59" t="str">
        <x:v>状态及限制</x:v>
      </x:c>
      <x:c r="I4" s="59" t="str">
        <x:v>去重体系</x:v>
      </x:c>
      <x:c r="J4" s="59" t="str">
        <x:v>源ID</x:v>
      </x:c>
    </x:row>
    <x:row r="5" ht="28" customHeight="1">
      <x:c r="A5" s="60" t="str">
        <x:v>O01</x:v>
      </x:c>
      <x:c r="B5" s="60" t="str">
        <x:v>京城俱乐部</x:v>
      </x:c>
      <x:c r="C5" s="60" t="str">
        <x:v>综合会员与生活方式</x:v>
      </x:c>
      <x:c r="D5" s="60" t="str">
        <x:v>北京</x:v>
      </x:c>
      <x:c r="E5" s="60" t="str">
        <x:v>会籍加场景消费</x:v>
      </x:c>
      <x:c r="F5" s="60" t="str">
        <x:v>中外商务人士及家庭</x:v>
      </x:c>
      <x:c r="G5" s="60" t="str">
        <x:v>直接模式对标</x:v>
      </x:c>
      <x:c r="H5" s="60" t="str">
        <x:v>公开产品或介绍可读</x:v>
      </x:c>
      <x:c r="I5" s="60" t="str">
        <x:v>京城俱乐部</x:v>
      </x:c>
      <x:c r="J5" s="60" t="str">
        <x:v>S22</x:v>
      </x:c>
    </x:row>
    <x:row r="6" ht="28" customHeight="1">
      <x:c r="A6" s="60" t="str">
        <x:v>O02</x:v>
      </x:c>
      <x:c r="B6" s="60" t="str">
        <x:v>HIGHER CLUB</x:v>
      </x:c>
      <x:c r="C6" s="60" t="str">
        <x:v>综合会员与生活方式</x:v>
      </x:c>
      <x:c r="D6" s="60" t="str">
        <x:v>上海 杭州 深圳网络自述</x:v>
      </x:c>
      <x:c r="E6" s="60" t="str">
        <x:v>审核会籍及品牌合作</x:v>
      </x:c>
      <x:c r="F6" s="60" t="str">
        <x:v>年轻高净值与企业家二代 自述</x:v>
      </x:c>
      <x:c r="G6" s="60" t="str">
        <x:v>直接模式对标</x:v>
      </x:c>
      <x:c r="H6" s="60" t="str">
        <x:v>公开产品或介绍可读</x:v>
      </x:c>
      <x:c r="I6" s="60" t="str">
        <x:v>HIGHER CLUB</x:v>
      </x:c>
      <x:c r="J6" s="60" t="str">
        <x:v>S37</x:v>
      </x:c>
    </x:row>
    <x:row r="7" ht="28" customHeight="1">
      <x:c r="A7" s="60" t="str">
        <x:v>O03</x:v>
      </x:c>
      <x:c r="B7" s="60" t="str">
        <x:v>KEE Club上海</x:v>
      </x:c>
      <x:c r="C7" s="60" t="str">
        <x:v>综合会员与生活方式</x:v>
      </x:c>
      <x:c r="D7" s="60" t="str">
        <x:v>上海</x:v>
      </x:c>
      <x:c r="E7" s="60" t="str">
        <x:v>会员空间与餐饮 历史</x:v>
      </x:c>
      <x:c r="F7" s="60" t="str">
        <x:v>艺术与餐酒生活方式人群</x:v>
      </x:c>
      <x:c r="G7" s="60" t="str">
        <x:v>场景替代</x:v>
      </x:c>
      <x:c r="H7" s="60" t="str">
        <x:v>历史介绍 当前状态待核</x:v>
      </x:c>
      <x:c r="I7" s="60" t="str">
        <x:v>KEE Club上海</x:v>
      </x:c>
      <x:c r="J7" s="60" t="str">
        <x:v>S55</x:v>
      </x:c>
    </x:row>
    <x:row r="8" ht="28" customHeight="1">
      <x:c r="A8" s="60" t="str">
        <x:v>O04</x:v>
      </x:c>
      <x:c r="B8" s="60" t="str">
        <x:v>雍福会</x:v>
      </x:c>
      <x:c r="C8" s="60" t="str">
        <x:v>综合会员与生活方式</x:v>
      </x:c>
      <x:c r="D8" s="60" t="str">
        <x:v>上海</x:v>
      </x:c>
      <x:c r="E8" s="60" t="str">
        <x:v>餐饮预订与定制</x:v>
      </x:c>
      <x:c r="F8" s="60" t="str">
        <x:v>私密餐饮及文化体验客户</x:v>
      </x:c>
      <x:c r="G8" s="60" t="str">
        <x:v>场景替代</x:v>
      </x:c>
      <x:c r="H8" s="60" t="str">
        <x:v>公开产品或介绍可读</x:v>
      </x:c>
      <x:c r="I8" s="60" t="str">
        <x:v>雍福会</x:v>
      </x:c>
      <x:c r="J8" s="60" t="str">
        <x:v>S54</x:v>
      </x:c>
    </x:row>
    <x:row r="9" ht="28" customHeight="1">
      <x:c r="A9" s="60" t="str">
        <x:v>O05</x:v>
      </x:c>
      <x:c r="B9" s="60" t="str">
        <x:v>黑骑士球员俱乐部</x:v>
      </x:c>
      <x:c r="C9" s="60" t="str">
        <x:v>综合会员与生活方式</x:v>
      </x:c>
      <x:c r="D9" s="60" t="str">
        <x:v>北京</x:v>
      </x:c>
      <x:c r="E9" s="60" t="str">
        <x:v>分层会籍</x:v>
      </x:c>
      <x:c r="F9" s="60" t="str">
        <x:v>高尔夫及家庭客户</x:v>
      </x:c>
      <x:c r="G9" s="60" t="str">
        <x:v>兴趣替代</x:v>
      </x:c>
      <x:c r="H9" s="60" t="str">
        <x:v>公开产品或介绍可读</x:v>
      </x:c>
      <x:c r="I9" s="60" t="str">
        <x:v>黑骑士球员俱乐部</x:v>
      </x:c>
      <x:c r="J9" s="60" t="str">
        <x:v>S52</x:v>
      </x:c>
    </x:row>
    <x:row r="10" ht="28" customHeight="1">
      <x:c r="A10" s="60" t="str">
        <x:v>O06</x:v>
      </x:c>
      <x:c r="B10" s="60" t="str">
        <x:v>北京香港马会会所</x:v>
      </x:c>
      <x:c r="C10" s="60" t="str">
        <x:v>综合会员与生活方式</x:v>
      </x:c>
      <x:c r="D10" s="60" t="str">
        <x:v>北京 京港往来</x:v>
      </x:c>
      <x:c r="E10" s="60" t="str">
        <x:v>会籍及设施消费</x:v>
      </x:c>
      <x:c r="F10" s="60" t="str">
        <x:v>商务与会员家庭</x:v>
      </x:c>
      <x:c r="G10" s="60" t="str">
        <x:v>直接模式对标</x:v>
      </x:c>
      <x:c r="H10" s="60" t="str">
        <x:v>公开产品或介绍可读</x:v>
      </x:c>
      <x:c r="I10" s="60" t="str">
        <x:v>北京香港马会会所</x:v>
      </x:c>
      <x:c r="J10" s="60" t="str">
        <x:v>S53</x:v>
      </x:c>
    </x:row>
    <x:row r="11" ht="28" customHeight="1">
      <x:c r="A11" s="60" t="str">
        <x:v>O07</x:v>
      </x:c>
      <x:c r="B11" s="60" t="str">
        <x:v>上海卫智马术</x:v>
      </x:c>
      <x:c r="C11" s="60" t="str">
        <x:v>综合会员与生活方式</x:v>
      </x:c>
      <x:c r="D11" s="60" t="str">
        <x:v>上海</x:v>
      </x:c>
      <x:c r="E11" s="60" t="str">
        <x:v>课程与团建</x:v>
      </x:c>
      <x:c r="F11" s="60" t="str">
        <x:v>成人兴趣及亲子客户</x:v>
      </x:c>
      <x:c r="G11" s="60" t="str">
        <x:v>兴趣替代</x:v>
      </x:c>
      <x:c r="H11" s="60" t="str">
        <x:v>公开产品或介绍可读</x:v>
      </x:c>
      <x:c r="I11" s="60" t="str">
        <x:v>上海卫智马术</x:v>
      </x:c>
      <x:c r="J11" s="60" t="str">
        <x:v>S56</x:v>
      </x:c>
    </x:row>
    <x:row r="12" ht="28" customHeight="1">
      <x:c r="A12" s="60" t="str">
        <x:v>O08</x:v>
      </x:c>
      <x:c r="B12" s="60" t="str">
        <x:v>伟事达中国</x:v>
      </x:c>
      <x:c r="C12" s="60" t="str">
        <x:v>企业家与私董会</x:v>
      </x:c>
      <x:c r="D12" s="60" t="str">
        <x:v>上海运营 全国</x:v>
      </x:c>
      <x:c r="E12" s="60" t="str">
        <x:v>年费加教练服务</x:v>
      </x:c>
      <x:c r="F12" s="60" t="str">
        <x:v>企业一号位及高管</x:v>
      </x:c>
      <x:c r="G12" s="60" t="str">
        <x:v>单项模式对标</x:v>
      </x:c>
      <x:c r="H12" s="60" t="str">
        <x:v>公开产品或介绍可读</x:v>
      </x:c>
      <x:c r="I12" s="60" t="str">
        <x:v>伟事达中国</x:v>
      </x:c>
      <x:c r="J12" s="60" t="str">
        <x:v>S28</x:v>
      </x:c>
    </x:row>
    <x:row r="13" ht="28" customHeight="1">
      <x:c r="A13" s="60" t="str">
        <x:v>O09</x:v>
      </x:c>
      <x:c r="B13" s="60" t="str">
        <x:v>EO China East</x:v>
      </x:c>
      <x:c r="C13" s="60" t="str">
        <x:v>企业家与私董会</x:v>
      </x:c>
      <x:c r="D13" s="60" t="str">
        <x:v>华东</x:v>
      </x:c>
      <x:c r="E13" s="60" t="str">
        <x:v>全球与地方会费</x:v>
      </x:c>
      <x:c r="F13" s="60" t="str">
        <x:v>企业所有者</x:v>
      </x:c>
      <x:c r="G13" s="60" t="str">
        <x:v>同侪社群替代</x:v>
      </x:c>
      <x:c r="H13" s="60" t="str">
        <x:v>公开产品或介绍可读</x:v>
      </x:c>
      <x:c r="I13" s="60" t="str">
        <x:v>EO China East</x:v>
      </x:c>
      <x:c r="J13" s="60" t="str">
        <x:v>S38</x:v>
      </x:c>
    </x:row>
    <x:row r="14" ht="28" customHeight="1">
      <x:c r="A14" s="60" t="str">
        <x:v>O10</x:v>
      </x:c>
      <x:c r="B14" s="60" t="str">
        <x:v>正和岛</x:v>
      </x:c>
      <x:c r="C14" s="60" t="str">
        <x:v>企业家与私董会</x:v>
      </x:c>
      <x:c r="D14" s="60" t="str">
        <x:v>全国</x:v>
      </x:c>
      <x:c r="E14" s="60" t="str">
        <x:v>会员内容与商业连接</x:v>
      </x:c>
      <x:c r="F14" s="60" t="str">
        <x:v>企业家及创业者</x:v>
      </x:c>
      <x:c r="G14" s="60" t="str">
        <x:v>直接模式对标</x:v>
      </x:c>
      <x:c r="H14" s="60" t="str">
        <x:v>公开产品或介绍可读</x:v>
      </x:c>
      <x:c r="I14" s="60" t="str">
        <x:v>正和岛</x:v>
      </x:c>
      <x:c r="J14" s="60" t="str">
        <x:v>S39</x:v>
      </x:c>
    </x:row>
    <x:row r="15" ht="28" customHeight="1">
      <x:c r="A15" s="60" t="str">
        <x:v>O11</x:v>
      </x:c>
      <x:c r="B15" s="60" t="str">
        <x:v>亚布力论坛</x:v>
      </x:c>
      <x:c r="C15" s="60" t="str">
        <x:v>企业家与私董会</x:v>
      </x:c>
      <x:c r="D15" s="60" t="str">
        <x:v>全国</x:v>
      </x:c>
      <x:c r="E15" s="60" t="str">
        <x:v>论坛与学习交流</x:v>
      </x:c>
      <x:c r="F15" s="60" t="str">
        <x:v>企业家与新兴经营者</x:v>
      </x:c>
      <x:c r="G15" s="60" t="str">
        <x:v>网络替代</x:v>
      </x:c>
      <x:c r="H15" s="60" t="str">
        <x:v>公开产品或介绍可读</x:v>
      </x:c>
      <x:c r="I15" s="60" t="str">
        <x:v>亚布力论坛</x:v>
      </x:c>
      <x:c r="J15" s="60" t="str">
        <x:v>S49</x:v>
      </x:c>
    </x:row>
    <x:row r="16" ht="28" customHeight="1">
      <x:c r="A16" s="60" t="str">
        <x:v>O12</x:v>
      </x:c>
      <x:c r="B16" s="60" t="str">
        <x:v>混沌</x:v>
      </x:c>
      <x:c r="C16" s="60" t="str">
        <x:v>企业家与私董会</x:v>
      </x:c>
      <x:c r="D16" s="60" t="str">
        <x:v>全国</x:v>
      </x:c>
      <x:c r="E16" s="60" t="str">
        <x:v>学习订阅 训练营 内训</x:v>
      </x:c>
      <x:c r="F16" s="60" t="str">
        <x:v>创业者与企业管理者</x:v>
      </x:c>
      <x:c r="G16" s="60" t="str">
        <x:v>学习替代</x:v>
      </x:c>
      <x:c r="H16" s="60" t="str">
        <x:v>公开产品或介绍可读</x:v>
      </x:c>
      <x:c r="I16" s="60" t="str">
        <x:v>混沌</x:v>
      </x:c>
      <x:c r="J16" s="60" t="str">
        <x:v>S50</x:v>
      </x:c>
    </x:row>
    <x:row r="17" ht="28" customHeight="1">
      <x:c r="A17" s="60" t="str">
        <x:v>O13</x:v>
      </x:c>
      <x:c r="B17" s="60" t="str">
        <x:v>德申汇</x:v>
      </x:c>
      <x:c r="C17" s="60" t="str">
        <x:v>企业家与私董会</x:v>
      </x:c>
      <x:c r="D17" s="60" t="str">
        <x:v>全国及海外网络</x:v>
      </x:c>
      <x:c r="E17" s="60" t="str">
        <x:v>平台加俱乐部</x:v>
      </x:c>
      <x:c r="F17" s="60" t="str">
        <x:v>企业经营者与商务人士</x:v>
      </x:c>
      <x:c r="G17" s="60" t="str">
        <x:v>直接模式对标</x:v>
      </x:c>
      <x:c r="H17" s="60" t="str">
        <x:v>公开产品或介绍可读</x:v>
      </x:c>
      <x:c r="I17" s="60" t="str">
        <x:v>德申汇</x:v>
      </x:c>
      <x:c r="J17" s="60" t="str">
        <x:v>S51</x:v>
      </x:c>
    </x:row>
    <x:row r="18" ht="28" customHeight="1">
      <x:c r="A18" s="60" t="str">
        <x:v>O14</x:v>
      </x:c>
      <x:c r="B18" s="60" t="str">
        <x:v>中欧国际工商学院</x:v>
      </x:c>
      <x:c r="C18" s="60" t="str">
        <x:v>商学与游学</x:v>
      </x:c>
      <x:c r="D18" s="60" t="str">
        <x:v>北京 上海 深圳</x:v>
      </x:c>
      <x:c r="E18" s="60" t="str">
        <x:v>学位及高管课程</x:v>
      </x:c>
      <x:c r="F18" s="60" t="str">
        <x:v>有管理经验的经营者</x:v>
      </x:c>
      <x:c r="G18" s="60" t="str">
        <x:v>教育替代</x:v>
      </x:c>
      <x:c r="H18" s="60" t="str">
        <x:v>公开产品或介绍可读</x:v>
      </x:c>
      <x:c r="I18" s="60" t="str">
        <x:v>中欧国际工商学院</x:v>
      </x:c>
      <x:c r="J18" s="60" t="str">
        <x:v>S42</x:v>
      </x:c>
    </x:row>
    <x:row r="19" ht="28" customHeight="1">
      <x:c r="A19" s="60" t="str">
        <x:v>O15</x:v>
      </x:c>
      <x:c r="B19" s="60" t="str">
        <x:v>长江商学院</x:v>
      </x:c>
      <x:c r="C19" s="60" t="str">
        <x:v>商学与游学</x:v>
      </x:c>
      <x:c r="D19" s="60" t="str">
        <x:v>北京 上海 深圳项目</x:v>
      </x:c>
      <x:c r="E19" s="60" t="str">
        <x:v>学位及高管课程</x:v>
      </x:c>
      <x:c r="F19" s="60" t="str">
        <x:v>企业高管与经营者</x:v>
      </x:c>
      <x:c r="G19" s="60" t="str">
        <x:v>教育替代</x:v>
      </x:c>
      <x:c r="H19" s="60" t="str">
        <x:v>公开产品或介绍可读</x:v>
      </x:c>
      <x:c r="I19" s="60" t="str">
        <x:v>长江商学院</x:v>
      </x:c>
      <x:c r="J19" s="60" t="str">
        <x:v>S43</x:v>
      </x:c>
    </x:row>
    <x:row r="20" ht="28" customHeight="1">
      <x:c r="A20" s="60" t="str">
        <x:v>O16</x:v>
      </x:c>
      <x:c r="B20" s="60" t="str">
        <x:v>交大高金</x:v>
      </x:c>
      <x:c r="C20" s="60" t="str">
        <x:v>商学与游学</x:v>
      </x:c>
      <x:c r="D20" s="60" t="str">
        <x:v>上海及全国班</x:v>
      </x:c>
      <x:c r="E20" s="60" t="str">
        <x:v>金融EMBA</x:v>
      </x:c>
      <x:c r="F20" s="60" t="str">
        <x:v>金融与实业管理者</x:v>
      </x:c>
      <x:c r="G20" s="60" t="str">
        <x:v>教育替代</x:v>
      </x:c>
      <x:c r="H20" s="60" t="str">
        <x:v>公开产品或介绍可读</x:v>
      </x:c>
      <x:c r="I20" s="60" t="str">
        <x:v>交大高金</x:v>
      </x:c>
      <x:c r="J20" s="60" t="str">
        <x:v>S44</x:v>
      </x:c>
    </x:row>
    <x:row r="21" ht="28" customHeight="1">
      <x:c r="A21" s="60" t="str">
        <x:v>O17</x:v>
      </x:c>
      <x:c r="B21" s="60" t="str">
        <x:v>上海财大商学院</x:v>
      </x:c>
      <x:c r="C21" s="60" t="str">
        <x:v>商学与游学</x:v>
      </x:c>
      <x:c r="D21" s="60" t="str">
        <x:v>上海</x:v>
      </x:c>
      <x:c r="E21" s="60" t="str">
        <x:v>金融EMBA</x:v>
      </x:c>
      <x:c r="F21" s="60" t="str">
        <x:v>金融及企业管理者</x:v>
      </x:c>
      <x:c r="G21" s="60" t="str">
        <x:v>教育替代</x:v>
      </x:c>
      <x:c r="H21" s="60" t="str">
        <x:v>公开产品或介绍可读</x:v>
      </x:c>
      <x:c r="I21" s="60" t="str">
        <x:v>上海财大商学院</x:v>
      </x:c>
      <x:c r="J21" s="60" t="str">
        <x:v>S45</x:v>
      </x:c>
    </x:row>
    <x:row r="22" ht="28" customHeight="1">
      <x:c r="A22" s="60" t="str">
        <x:v>O18</x:v>
      </x:c>
      <x:c r="B22" s="60" t="str">
        <x:v>清华五道口</x:v>
      </x:c>
      <x:c r="C22" s="60" t="str">
        <x:v>商学与游学</x:v>
      </x:c>
      <x:c r="D22" s="60" t="str">
        <x:v>北京及海外模块</x:v>
      </x:c>
      <x:c r="E22" s="60" t="str">
        <x:v>学位及高管学习</x:v>
      </x:c>
      <x:c r="F22" s="60" t="str">
        <x:v>产融企业家及金融人才</x:v>
      </x:c>
      <x:c r="G22" s="60" t="str">
        <x:v>教育替代</x:v>
      </x:c>
      <x:c r="H22" s="60" t="str">
        <x:v>公开产品或介绍可读</x:v>
      </x:c>
      <x:c r="I22" s="60" t="str">
        <x:v>清华五道口</x:v>
      </x:c>
      <x:c r="J22" s="60" t="str">
        <x:v>S46</x:v>
      </x:c>
    </x:row>
    <x:row r="23" ht="28" customHeight="1">
      <x:c r="A23" s="60" t="str">
        <x:v>O19</x:v>
      </x:c>
      <x:c r="B23" s="60" t="str">
        <x:v>北大汇丰EDP</x:v>
      </x:c>
      <x:c r="C23" s="60" t="str">
        <x:v>商学与游学</x:v>
      </x:c>
      <x:c r="D23" s="60" t="str">
        <x:v>深圳</x:v>
      </x:c>
      <x:c r="E23" s="60" t="str">
        <x:v>高管课程加校友活动</x:v>
      </x:c>
      <x:c r="F23" s="60" t="str">
        <x:v>企业家及管理者</x:v>
      </x:c>
      <x:c r="G23" s="60" t="str">
        <x:v>教育替代</x:v>
      </x:c>
      <x:c r="H23" s="60" t="str">
        <x:v>公开产品或介绍可读</x:v>
      </x:c>
      <x:c r="I23" s="60" t="str">
        <x:v>北大汇丰EDP</x:v>
      </x:c>
      <x:c r="J23" s="60" t="str">
        <x:v>S47</x:v>
      </x:c>
    </x:row>
    <x:row r="24" ht="28" customHeight="1">
      <x:c r="A24" s="60" t="str">
        <x:v>O20</x:v>
      </x:c>
      <x:c r="B24" s="60" t="str">
        <x:v>深圳市商业联合会</x:v>
      </x:c>
      <x:c r="C24" s="60" t="str">
        <x:v>商协会与渠道</x:v>
      </x:c>
      <x:c r="D24" s="60" t="str">
        <x:v>深圳</x:v>
      </x:c>
      <x:c r="E24" s="60" t="str">
        <x:v>组织会籍及企业服务</x:v>
      </x:c>
      <x:c r="F24" s="60" t="str">
        <x:v>企业与经营者</x:v>
      </x:c>
      <x:c r="G24" s="60" t="str">
        <x:v>替代及潜在渠道</x:v>
      </x:c>
      <x:c r="H24" s="60" t="str">
        <x:v>公开产品或介绍可读</x:v>
      </x:c>
      <x:c r="I24" s="60" t="str">
        <x:v>深圳市商业联合会</x:v>
      </x:c>
      <x:c r="J24" s="60" t="str">
        <x:v>S48</x:v>
      </x:c>
    </x:row>
    <x:row r="25" ht="28" customHeight="1">
      <x:c r="A25" s="60" t="str">
        <x:v>O21</x:v>
      </x:c>
      <x:c r="B25" s="60" t="str">
        <x:v>深圳市侨商国际联合会</x:v>
      </x:c>
      <x:c r="C25" s="60" t="str">
        <x:v>商协会与渠道</x:v>
      </x:c>
      <x:c r="D25" s="60" t="str">
        <x:v>深圳</x:v>
      </x:c>
      <x:c r="E25" s="60" t="str">
        <x:v>分层组织会费</x:v>
      </x:c>
      <x:c r="F25" s="60" t="str">
        <x:v>具有侨港澳联系的企业及个人</x:v>
      </x:c>
      <x:c r="G25" s="60" t="str">
        <x:v>替代及潜在渠道</x:v>
      </x:c>
      <x:c r="H25" s="60" t="str">
        <x:v>公开产品或介绍可读</x:v>
      </x:c>
      <x:c r="I25" s="60" t="str">
        <x:v>深圳市侨商国际联合会</x:v>
      </x:c>
      <x:c r="J25" s="60" t="str">
        <x:v>S40</x:v>
      </x:c>
    </x:row>
    <x:row r="26" ht="28" customHeight="1">
      <x:c r="A26" s="60" t="str">
        <x:v>O22</x:v>
      </x:c>
      <x:c r="B26" s="60" t="str">
        <x:v>上海美国商会</x:v>
      </x:c>
      <x:c r="C26" s="60" t="str">
        <x:v>商协会与渠道</x:v>
      </x:c>
      <x:c r="D26" s="60" t="str">
        <x:v>上海</x:v>
      </x:c>
      <x:c r="E26" s="60" t="str">
        <x:v>会籍加活动票</x:v>
      </x:c>
      <x:c r="F26" s="60" t="str">
        <x:v>会员企业与员工家庭</x:v>
      </x:c>
      <x:c r="G26" s="60" t="str">
        <x:v>替代及潜在渠道</x:v>
      </x:c>
      <x:c r="H26" s="60" t="str">
        <x:v>公开产品或介绍可读</x:v>
      </x:c>
      <x:c r="I26" s="60" t="str">
        <x:v>上海美国商会</x:v>
      </x:c>
      <x:c r="J26" s="60" t="str">
        <x:v>S41</x:v>
      </x:c>
    </x:row>
    <x:row r="27" ht="28" customHeight="1">
      <x:c r="A27" s="60" t="str">
        <x:v>O23</x:v>
      </x:c>
      <x:c r="B27" s="60" t="str">
        <x:v>中国美国商会</x:v>
      </x:c>
      <x:c r="C27" s="60" t="str">
        <x:v>商协会与渠道</x:v>
      </x:c>
      <x:c r="D27" s="60" t="str">
        <x:v>北京及全国分会</x:v>
      </x:c>
      <x:c r="E27" s="60" t="str">
        <x:v>会籍加活动票</x:v>
      </x:c>
      <x:c r="F27" s="60" t="str">
        <x:v>在华美资及相关企业</x:v>
      </x:c>
      <x:c r="G27" s="60" t="str">
        <x:v>替代及潜在渠道</x:v>
      </x:c>
      <x:c r="H27" s="60" t="str">
        <x:v>公开产品或介绍可读</x:v>
      </x:c>
      <x:c r="I27" s="60" t="str">
        <x:v>中国美国商会</x:v>
      </x:c>
      <x:c r="J27" s="60" t="str">
        <x:v>S74</x:v>
      </x:c>
    </x:row>
    <x:row r="28" ht="28" customHeight="1">
      <x:c r="A28" s="60" t="str">
        <x:v>O24</x:v>
      </x:c>
      <x:c r="B28" s="60" t="str">
        <x:v>耀悦</x:v>
      </x:c>
      <x:c r="C28" s="60" t="str">
        <x:v>旅行及体验</x:v>
      </x:c>
      <x:c r="D28" s="60" t="str">
        <x:v>北京服务 全国招募</x:v>
      </x:c>
      <x:c r="E28" s="60" t="str">
        <x:v>按产品或定制收费</x:v>
      </x:c>
      <x:c r="F28" s="60" t="str">
        <x:v>精英消费者 家庭及机构</x:v>
      </x:c>
      <x:c r="G28" s="60" t="str">
        <x:v>单项模式对标</x:v>
      </x:c>
      <x:c r="H28" s="60" t="str">
        <x:v>公开产品或介绍可读</x:v>
      </x:c>
      <x:c r="I28" s="60" t="str">
        <x:v>中青旅相关品牌</x:v>
      </x:c>
      <x:c r="J28" s="60" t="str">
        <x:v>S33</x:v>
      </x:c>
    </x:row>
    <x:row r="29" ht="28" customHeight="1">
      <x:c r="A29" s="60" t="str">
        <x:v>O25</x:v>
      </x:c>
      <x:c r="B29" s="60" t="str">
        <x:v>鸿鹄逸游</x:v>
      </x:c>
      <x:c r="C29" s="60" t="str">
        <x:v>旅行及体验</x:v>
      </x:c>
      <x:c r="D29" s="60" t="str">
        <x:v>全国</x:v>
      </x:c>
      <x:c r="E29" s="60" t="str">
        <x:v>旅行产品及定制</x:v>
      </x:c>
      <x:c r="F29" s="60" t="str">
        <x:v>高品质出游客户</x:v>
      </x:c>
      <x:c r="G29" s="60" t="str">
        <x:v>单项模式对标</x:v>
      </x:c>
      <x:c r="H29" s="60" t="str">
        <x:v>公开产品或介绍可读</x:v>
      </x:c>
      <x:c r="I29" s="60" t="str">
        <x:v>携程相关品牌</x:v>
      </x:c>
      <x:c r="J29" s="60" t="str">
        <x:v>S57</x:v>
      </x:c>
    </x:row>
    <x:row r="30" ht="28" customHeight="1">
      <x:c r="A30" s="60" t="str">
        <x:v>O26</x:v>
      </x:c>
      <x:c r="B30" s="60" t="str">
        <x:v>碧山旅行 WildChina</x:v>
      </x:c>
      <x:c r="C30" s="60" t="str">
        <x:v>旅行及体验</x:v>
      </x:c>
      <x:c r="D30" s="60" t="str">
        <x:v>全国目的地</x:v>
      </x:c>
      <x:c r="E30" s="60" t="str">
        <x:v>定制及小团</x:v>
      </x:c>
      <x:c r="F30" s="60" t="str">
        <x:v>深度文化旅行人群</x:v>
      </x:c>
      <x:c r="G30" s="60" t="str">
        <x:v>单项模式对标</x:v>
      </x:c>
      <x:c r="H30" s="60" t="str">
        <x:v>公开产品或介绍可读</x:v>
      </x:c>
      <x:c r="I30" s="60" t="str">
        <x:v>碧山旅行 WildChina</x:v>
      </x:c>
      <x:c r="J30" s="60" t="str">
        <x:v>S58</x:v>
      </x:c>
    </x:row>
    <x:row r="31" ht="28" customHeight="1">
      <x:c r="A31" s="60" t="str">
        <x:v>O27</x:v>
      </x:c>
      <x:c r="B31" s="60" t="str">
        <x:v>德迈国际</x:v>
      </x:c>
      <x:c r="C31" s="60" t="str">
        <x:v>旅行及体验</x:v>
      </x:c>
      <x:c r="D31" s="60" t="str">
        <x:v>全国</x:v>
      </x:c>
      <x:c r="E31" s="60" t="str">
        <x:v>定制与主题团</x:v>
      </x:c>
      <x:c r="F31" s="60" t="str">
        <x:v>极地与专业主题旅行客户</x:v>
      </x:c>
      <x:c r="G31" s="60" t="str">
        <x:v>单项模式对标</x:v>
      </x:c>
      <x:c r="H31" s="60" t="str">
        <x:v>公开产品或介绍可读</x:v>
      </x:c>
      <x:c r="I31" s="60" t="str">
        <x:v>德迈国际</x:v>
      </x:c>
      <x:c r="J31" s="60" t="str">
        <x:v>S59</x:v>
      </x:c>
    </x:row>
    <x:row r="32" ht="28" customHeight="1">
      <x:c r="A32" s="60" t="str">
        <x:v>O28</x:v>
      </x:c>
      <x:c r="B32" s="60" t="str">
        <x:v>赞那度</x:v>
      </x:c>
      <x:c r="C32" s="60" t="str">
        <x:v>旅行及体验</x:v>
      </x:c>
      <x:c r="D32" s="60" t="str">
        <x:v>全国</x:v>
      </x:c>
      <x:c r="E32" s="60" t="str">
        <x:v>高端旅游及内容</x:v>
      </x:c>
      <x:c r="F32" s="60" t="str">
        <x:v>品质旅行客户</x:v>
      </x:c>
      <x:c r="G32" s="60" t="str">
        <x:v>单项模式对标</x:v>
      </x:c>
      <x:c r="H32" s="60" t="str">
        <x:v>公开产品或介绍可读</x:v>
      </x:c>
      <x:c r="I32" s="60" t="str">
        <x:v>赞那度</x:v>
      </x:c>
      <x:c r="J32" s="60" t="str">
        <x:v>S60</x:v>
      </x:c>
    </x:row>
    <x:row r="33" ht="28" customHeight="1">
      <x:c r="A33" s="60" t="str">
        <x:v>O29</x:v>
      </x:c>
      <x:c r="B33" s="60" t="str">
        <x:v>无二之旅</x:v>
      </x:c>
      <x:c r="C33" s="60" t="str">
        <x:v>旅行及体验</x:v>
      </x:c>
      <x:c r="D33" s="60" t="str">
        <x:v>北京服务 全国</x:v>
      </x:c>
      <x:c r="E33" s="60" t="str">
        <x:v>顾问定制</x:v>
      </x:c>
      <x:c r="F33" s="60" t="str">
        <x:v>家庭 伴侣及自由行客户</x:v>
      </x:c>
      <x:c r="G33" s="60" t="str">
        <x:v>定制替代</x:v>
      </x:c>
      <x:c r="H33" s="60" t="str">
        <x:v>公开产品或介绍可读</x:v>
      </x:c>
      <x:c r="I33" s="60" t="str">
        <x:v>无二之旅</x:v>
      </x:c>
      <x:c r="J33" s="60" t="str">
        <x:v>S61</x:v>
      </x:c>
    </x:row>
    <x:row r="34" ht="28" customHeight="1">
      <x:c r="A34" s="60" t="str">
        <x:v>O30</x:v>
      </x:c>
      <x:c r="B34" s="60" t="str">
        <x:v>佰悦会</x:v>
      </x:c>
      <x:c r="C34" s="60" t="str">
        <x:v>旅行及体验</x:v>
      </x:c>
      <x:c r="D34" s="60" t="str">
        <x:v>全国</x:v>
      </x:c>
      <x:c r="E34" s="60" t="str">
        <x:v>定制 管家及企业服务</x:v>
      </x:c>
      <x:c r="F34" s="60" t="str">
        <x:v>私人旅行及企业客户</x:v>
      </x:c>
      <x:c r="G34" s="60" t="str">
        <x:v>单项模式对标</x:v>
      </x:c>
      <x:c r="H34" s="60" t="str">
        <x:v>公开产品或介绍可读</x:v>
      </x:c>
      <x:c r="I34" s="60" t="str">
        <x:v>佰悦会</x:v>
      </x:c>
      <x:c r="J34" s="60" t="str">
        <x:v>S62</x:v>
      </x:c>
    </x:row>
    <x:row r="35" ht="28" customHeight="1">
      <x:c r="A35" s="60" t="str">
        <x:v>O31</x:v>
      </x:c>
      <x:c r="B35" s="60" t="str">
        <x:v>八大洲旅游</x:v>
      </x:c>
      <x:c r="C35" s="60" t="str">
        <x:v>旅行及体验</x:v>
      </x:c>
      <x:c r="D35" s="60" t="str">
        <x:v>全国</x:v>
      </x:c>
      <x:c r="E35" s="60" t="str">
        <x:v>酒店预订及定制</x:v>
      </x:c>
      <x:c r="F35" s="60" t="str">
        <x:v>品质度假及家庭客户</x:v>
      </x:c>
      <x:c r="G35" s="60" t="str">
        <x:v>单项模式对标</x:v>
      </x:c>
      <x:c r="H35" s="60" t="str">
        <x:v>公开产品或介绍可读</x:v>
      </x:c>
      <x:c r="I35" s="60" t="str">
        <x:v>八大洲旅游</x:v>
      </x:c>
      <x:c r="J35" s="60" t="str">
        <x:v>S63</x:v>
      </x:c>
    </x:row>
    <x:row r="36" ht="28" customHeight="1">
      <x:c r="A36" s="60" t="str">
        <x:v>O32</x:v>
      </x:c>
      <x:c r="B36" s="60" t="str">
        <x:v>松赞</x:v>
      </x:c>
      <x:c r="C36" s="60" t="str">
        <x:v>旅行及体验</x:v>
      </x:c>
      <x:c r="D36" s="60" t="str">
        <x:v>目的地服务 全国客源</x:v>
      </x:c>
      <x:c r="E36" s="60" t="str">
        <x:v>酒店加线路</x:v>
      </x:c>
      <x:c r="F36" s="60" t="str">
        <x:v>藏地自然文化旅行客户</x:v>
      </x:c>
      <x:c r="G36" s="60" t="str">
        <x:v>体验替代</x:v>
      </x:c>
      <x:c r="H36" s="60" t="str">
        <x:v>公开产品或介绍可读</x:v>
      </x:c>
      <x:c r="I36" s="60" t="str">
        <x:v>松赞</x:v>
      </x:c>
      <x:c r="J36" s="60" t="str">
        <x:v>S64</x:v>
      </x:c>
    </x:row>
    <x:row r="37" ht="28" customHeight="1">
      <x:c r="A37" s="60" t="str">
        <x:v>O33</x:v>
      </x:c>
      <x:c r="B37" s="60" t="str">
        <x:v>Club Med</x:v>
      </x:c>
      <x:c r="C37" s="60" t="str">
        <x:v>旅行及体验</x:v>
      </x:c>
      <x:c r="D37" s="60" t="str">
        <x:v>全国客源 全球度假村</x:v>
      </x:c>
      <x:c r="E37" s="60" t="str">
        <x:v>度假套餐及积分会员</x:v>
      </x:c>
      <x:c r="F37" s="60" t="str">
        <x:v>家庭 伴侣 企业团体</x:v>
      </x:c>
      <x:c r="G37" s="60" t="str">
        <x:v>体验替代</x:v>
      </x:c>
      <x:c r="H37" s="60" t="str">
        <x:v>公开产品或介绍可读</x:v>
      </x:c>
      <x:c r="I37" s="60" t="str">
        <x:v>Club Med</x:v>
      </x:c>
      <x:c r="J37" s="60" t="str">
        <x:v>S65</x:v>
      </x:c>
    </x:row>
    <x:row r="38" ht="28" customHeight="1">
      <x:c r="A38" s="60" t="str">
        <x:v>O34</x:v>
      </x:c>
      <x:c r="B38" s="60" t="str">
        <x:v>野去自然旅行</x:v>
      </x:c>
      <x:c r="C38" s="60" t="str">
        <x:v>旅行及体验</x:v>
      </x:c>
      <x:c r="D38" s="60" t="str">
        <x:v>全国</x:v>
      </x:c>
      <x:c r="E38" s="60" t="str">
        <x:v>主题旅行</x:v>
      </x:c>
      <x:c r="F38" s="60" t="str">
        <x:v>自然摄影及探索人群</x:v>
      </x:c>
      <x:c r="G38" s="60" t="str">
        <x:v>兴趣替代</x:v>
      </x:c>
      <x:c r="H38" s="60" t="str">
        <x:v>含历史资讯 当前规模待核</x:v>
      </x:c>
      <x:c r="I38" s="60" t="str">
        <x:v>野去自然旅行</x:v>
      </x:c>
      <x:c r="J38" s="60" t="str">
        <x:v>S66</x:v>
      </x:c>
    </x:row>
    <x:row r="39" ht="28" customHeight="1">
      <x:c r="A39" s="60" t="str">
        <x:v>O35</x:v>
      </x:c>
      <x:c r="B39" s="60" t="str">
        <x:v>我主良缘</x:v>
      </x:c>
      <x:c r="C39" s="60" t="str">
        <x:v>婚恋与关系服务</x:v>
      </x:c>
      <x:c r="D39" s="60" t="str">
        <x:v>北京 上海 深圳等自述</x:v>
      </x:c>
      <x:c r="E39" s="60" t="str">
        <x:v>顾问式婚恋及匹配</x:v>
      </x:c>
      <x:c r="F39" s="60" t="str">
        <x:v>以结婚为目的单身客户</x:v>
      </x:c>
      <x:c r="G39" s="60" t="str">
        <x:v>单项模式对标</x:v>
      </x:c>
      <x:c r="H39" s="60" t="str">
        <x:v>公开产品或介绍可读</x:v>
      </x:c>
      <x:c r="I39" s="60" t="str">
        <x:v>我主良缘</x:v>
      </x:c>
      <x:c r="J39" s="60" t="str">
        <x:v>S67</x:v>
      </x:c>
    </x:row>
    <x:row r="40" ht="28" customHeight="1">
      <x:c r="A40" s="60" t="str">
        <x:v>O36</x:v>
      </x:c>
      <x:c r="B40" s="60" t="str">
        <x:v>珍爱网</x:v>
      </x:c>
      <x:c r="C40" s="60" t="str">
        <x:v>婚恋与关系服务</x:v>
      </x:c>
      <x:c r="D40" s="60" t="str">
        <x:v>全国</x:v>
      </x:c>
      <x:c r="E40" s="60" t="str">
        <x:v>线上增值及红娘</x:v>
      </x:c>
      <x:c r="F40" s="60" t="str">
        <x:v>严肃婚恋单身客户</x:v>
      </x:c>
      <x:c r="G40" s="60" t="str">
        <x:v>单项模式对标</x:v>
      </x:c>
      <x:c r="H40" s="60" t="str">
        <x:v>公开产品或介绍可读</x:v>
      </x:c>
      <x:c r="I40" s="60" t="str">
        <x:v>珍爱网</x:v>
      </x:c>
      <x:c r="J40" s="60" t="str">
        <x:v>S68</x:v>
      </x:c>
    </x:row>
    <x:row r="41" ht="28" customHeight="1">
      <x:c r="A41" s="60" t="str">
        <x:v>O37</x:v>
      </x:c>
      <x:c r="B41" s="60" t="str">
        <x:v>百合佳缘相关品牌</x:v>
      </x:c>
      <x:c r="C41" s="60" t="str">
        <x:v>婚恋与关系服务</x:v>
      </x:c>
      <x:c r="D41" s="60" t="str">
        <x:v>全国</x:v>
      </x:c>
      <x:c r="E41" s="60" t="str">
        <x:v>线上平台加线下服务</x:v>
      </x:c>
      <x:c r="F41" s="60" t="str">
        <x:v>婚恋单身客户</x:v>
      </x:c>
      <x:c r="G41" s="60" t="str">
        <x:v>单项模式对标</x:v>
      </x:c>
      <x:c r="H41" s="60" t="str">
        <x:v>注册入口可读 集团归属及线下状态待核</x:v>
      </x:c>
      <x:c r="I41" s="60" t="str">
        <x:v>百合与世纪佳缘合并一条</x:v>
      </x:c>
      <x:c r="J41" s="60" t="str">
        <x:v>S69</x:v>
      </x:c>
    </x:row>
    <x:row r="42" ht="28" customHeight="1">
      <x:c r="A42" s="60" t="str">
        <x:v>O38</x:v>
      </x:c>
      <x:c r="B42" s="60" t="str">
        <x:v>MarryU</x:v>
      </x:c>
      <x:c r="C42" s="60" t="str">
        <x:v>婚恋与关系服务</x:v>
      </x:c>
      <x:c r="D42" s="60" t="str">
        <x:v>历史布局含京沪深</x:v>
      </x:c>
      <x:c r="E42" s="60" t="str">
        <x:v>普通牵线 VIP 定制</x:v>
      </x:c>
      <x:c r="F42" s="60" t="str">
        <x:v>有明确结婚计划的单身者</x:v>
      </x:c>
      <x:c r="G42" s="60" t="str">
        <x:v>单项模式对标</x:v>
      </x:c>
      <x:c r="H42" s="60" t="str">
        <x:v>产品介绍可读 门店与用户数字为历史</x:v>
      </x:c>
      <x:c r="I42" s="60" t="str">
        <x:v>MarryU</x:v>
      </x:c>
      <x:c r="J42" s="60" t="str">
        <x:v>S70</x:v>
      </x:c>
    </x:row>
    <x:row r="43" ht="28" customHeight="1">
      <x:c r="A43" s="60" t="str">
        <x:v>O39</x:v>
      </x:c>
      <x:c r="B43" s="60" t="str">
        <x:v>网易花田</x:v>
      </x:c>
      <x:c r="C43" s="60" t="str">
        <x:v>线上社交替代</x:v>
      </x:c>
      <x:c r="D43" s="60" t="str">
        <x:v>全国</x:v>
      </x:c>
      <x:c r="E43" s="60" t="str">
        <x:v>基础免费加增值 历史</x:v>
      </x:c>
      <x:c r="F43" s="60" t="str">
        <x:v>线上婚恋用户</x:v>
      </x:c>
      <x:c r="G43" s="60" t="str">
        <x:v>历史替代</x:v>
      </x:c>
      <x:c r="H43" s="60" t="str">
        <x:v>历史案例 不判断当前状态</x:v>
      </x:c>
      <x:c r="I43" s="60" t="str">
        <x:v>网易花田</x:v>
      </x:c>
      <x:c r="J43" s="60" t="str">
        <x:v>S71</x:v>
      </x:c>
    </x:row>
    <x:row r="44" ht="28" customHeight="1">
      <x:c r="A44" s="60" t="str">
        <x:v>O40</x:v>
      </x:c>
      <x:c r="B44" s="60" t="str">
        <x:v>Soul</x:v>
      </x:c>
      <x:c r="C44" s="60" t="str">
        <x:v>线上社交替代</x:v>
      </x:c>
      <x:c r="D44" s="60" t="str">
        <x:v>全国</x:v>
      </x:c>
      <x:c r="E44" s="60" t="str">
        <x:v>线上社交及增值</x:v>
      </x:c>
      <x:c r="F44" s="60" t="str">
        <x:v>兴趣个性社交用户</x:v>
      </x:c>
      <x:c r="G44" s="60" t="str">
        <x:v>大众替代</x:v>
      </x:c>
      <x:c r="H44" s="60" t="str">
        <x:v>公开产品或介绍可读</x:v>
      </x:c>
      <x:c r="I44" s="60" t="str">
        <x:v>Soul</x:v>
      </x:c>
      <x:c r="J44" s="60" t="str">
        <x:v>S72</x:v>
      </x:c>
    </x:row>
    <x:row r="45" ht="28" customHeight="1">
      <x:c r="A45" s="60" t="str">
        <x:v>O41</x:v>
      </x:c>
      <x:c r="B45" s="60" t="str">
        <x:v>挚文集团 陌陌与探探</x:v>
      </x:c>
      <x:c r="C45" s="60" t="str">
        <x:v>线上社交替代</x:v>
      </x:c>
      <x:c r="D45" s="60" t="str">
        <x:v>全国及海外</x:v>
      </x:c>
      <x:c r="E45" s="60" t="str">
        <x:v>增值与订阅</x:v>
      </x:c>
      <x:c r="F45" s="60" t="str">
        <x:v>大众陌生人交友用户</x:v>
      </x:c>
      <x:c r="G45" s="60" t="str">
        <x:v>大众替代</x:v>
      </x:c>
      <x:c r="H45" s="60" t="str">
        <x:v>公开产品或介绍可读</x:v>
      </x:c>
      <x:c r="I45" s="60" t="str">
        <x:v>陌陌与探探合并一条</x:v>
      </x:c>
      <x:c r="J45" s="60" t="str">
        <x:v>S12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7f575c0deda4fab"/>
  </x:tableParts>
</x:worksheet>
</file>

<file path=xl/worksheets/sheet14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50" hidden="0" customWidth="1"/>
    <x:col min="3" max="3" width="34" hidden="0" customWidth="1"/>
    <x:col min="4" max="4" width="30" hidden="0" customWidth="1"/>
    <x:col min="5" max="5" width="26" hidden="0" customWidth="1"/>
    <x:col min="6" max="6" width="50" hidden="0" customWidth="1"/>
    <x:col min="7" max="7" width="50" hidden="0" customWidth="1"/>
    <x:col min="8" max="8" width="50" hidden="0" customWidth="1"/>
    <x:col min="9" max="9" width="16" hidden="0" customWidth="1"/>
    <x:col min="10" max="10" width="50" hidden="0" customWidth="1"/>
  </x:cols>
  <x:sheetData>
    <x:row r="1" ht="30" customHeight="1">
      <x:c r="A1" s="53" t="str">
        <x:v>来源台账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 ht="32" customHeight="1">
      <x:c r="A2" s="54" t="str">
        <x:v>采集截止 2026-10-21　|　101条可追溯记录含20篇平台笔记；来源数不等于独立研究数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3" ht="8" customHeight="1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0" customHeight="1">
      <x:c r="A4" s="59" t="str">
        <x:v>源ID</x:v>
      </x:c>
      <x:c r="B4" s="59" t="str">
        <x:v>标题</x:v>
      </x:c>
      <x:c r="C4" s="59" t="str">
        <x:v>发布或提供主体</x:v>
      </x:c>
      <x:c r="D4" s="59" t="str">
        <x:v>统计期或发布时间</x:v>
      </x:c>
      <x:c r="E4" s="59" t="str">
        <x:v>证据类别</x:v>
      </x:c>
      <x:c r="F4" s="59" t="str">
        <x:v>关键发现</x:v>
      </x:c>
      <x:c r="G4" s="59" t="str">
        <x:v>限制</x:v>
      </x:c>
      <x:c r="H4" s="59" t="str">
        <x:v>访问方式</x:v>
      </x:c>
      <x:c r="I4" s="59" t="str">
        <x:v>采集日</x:v>
      </x:c>
      <x:c r="J4" s="59" t="str">
        <x:v>链接</x:v>
      </x:c>
    </x:row>
    <x:row r="5" ht="36" customHeight="1">
      <x:c r="A5" s="60" t="str">
        <x:v>S01</x:v>
      </x:c>
      <x:c r="B5" s="60" t="str">
        <x:v>第57次中国互联网络发展状况统计报告</x:v>
      </x:c>
      <x:c r="C5" s="60" t="str">
        <x:v>CNNIC</x:v>
      </x:c>
      <x:c r="D5" s="60" t="str">
        <x:v>2025-12</x:v>
      </x:c>
      <x:c r="E5" s="60" t="str">
        <x:v>官方统计</x:v>
      </x:c>
      <x:c r="F5" s="60" t="str">
        <x:v>网民11.25亿；即时通信10.94亿。</x:v>
      </x:c>
      <x:c r="G5" s="60" t="str">
        <x:v>互联网使用基础，不能代表付费交友用户。</x:v>
      </x:c>
      <x:c r="H5" s="60" t="str">
        <x:v>公开正文或搜索索引已核实</x:v>
      </x:c>
      <x:c r="I5" s="60" t="str">
        <x:v>2026-10-21</x:v>
      </x:c>
      <x:c r="J5" s="60" t="str">
        <x:v>https://www.cnnic.net.cn/NMediaFile/2026/0304/MAIN1772588317069TUXN3827X8.pdf</x:v>
      </x:c>
    </x:row>
    <x:row r="6" ht="36" customHeight="1">
      <x:c r="A6" s="60" t="str">
        <x:v>S02</x:v>
      </x:c>
      <x:c r="B6" s="60" t="str">
        <x:v>2025年度中国数字生活市场数据报告婚恋专题</x:v>
      </x:c>
      <x:c r="C6" s="60" t="str">
        <x:v>网经社</x:v>
      </x:c>
      <x:c r="D6" s="60" t="str">
        <x:v>2021—2025</x:v>
      </x:c>
      <x:c r="E6" s="60" t="str">
        <x:v>第三方估算</x:v>
      </x:c>
      <x:c r="F6" s="60" t="str">
        <x:v>互联网婚恋规模75、83、91、98、103.5亿元；用户5680、6190、6780、7750、8450万人。</x:v>
      </x:c>
      <x:c r="G6" s="60" t="str">
        <x:v>公开页未给完整抽样、去重及收入边界，不与其他机构拼接。</x:v>
      </x:c>
      <x:c r="H6" s="60" t="str">
        <x:v>公开正文或搜索索引已核实</x:v>
      </x:c>
      <x:c r="I6" s="60" t="str">
        <x:v>2026-10-21</x:v>
      </x:c>
      <x:c r="J6" s="60" t="str">
        <x:v>https://imgs-b2b.100ec.cn/detail--6658734.html</x:v>
      </x:c>
    </x:row>
    <x:row r="7" ht="36" customHeight="1">
      <x:c r="A7" s="60" t="str">
        <x:v>S03</x:v>
      </x:c>
      <x:c r="B7" s="60" t="str">
        <x:v>2024至2025年中国婚恋社交服务市场研究报告</x:v>
      </x:c>
      <x:c r="C7" s="60" t="str">
        <x:v>艾媒咨询</x:v>
      </x:c>
      <x:c r="D7" s="60" t="str">
        <x:v>2023规模及2024调研</x:v>
      </x:c>
      <x:c r="E7" s="60" t="str">
        <x:v>第三方估算</x:v>
      </x:c>
      <x:c r="F7" s="60" t="str">
        <x:v>2023互联网婚恋交友93.8亿元。</x:v>
      </x:c>
      <x:c r="G7" s="60" t="str">
        <x:v>发布于2024-06-19；与网经社2023年的91亿元存在口径差异；非2025实绩。</x:v>
      </x:c>
      <x:c r="H7" s="60" t="str">
        <x:v>公开正文或搜索索引已核实</x:v>
      </x:c>
      <x:c r="I7" s="60" t="str">
        <x:v>2026-10-21</x:v>
      </x:c>
      <x:c r="J7" s="60" t="str">
        <x:v>https://www.iimedia.cn/c400/100883.html</x:v>
      </x:c>
    </x:row>
    <x:row r="8" ht="36" customHeight="1">
      <x:c r="A8" s="60" t="str">
        <x:v>S04</x:v>
      </x:c>
      <x:c r="B8" s="60" t="str">
        <x:v>2025年结婚登记数据公布</x:v>
      </x:c>
      <x:c r="C8" s="60" t="str">
        <x:v>苏州发布转引民政部</x:v>
      </x:c>
      <x:c r="D8" s="60" t="str">
        <x:v>2025</x:v>
      </x:c>
      <x:c r="E8" s="60" t="str">
        <x:v>政务转载</x:v>
      </x:c>
      <x:c r="F8" s="60" t="str">
        <x:v>年度公报结婚676.5万对。</x:v>
      </x:c>
      <x:c r="G8" s="60" t="str">
        <x:v>转引2026年9月底年度公报，原始部委PDF未成功取得；早期季报676.3万对另列。</x:v>
      </x:c>
      <x:c r="H8" s="60" t="str">
        <x:v>公开正文或搜索索引已核实</x:v>
      </x:c>
      <x:c r="I8" s="60" t="str">
        <x:v>2026-10-21</x:v>
      </x:c>
      <x:c r="J8" s="60" t="str">
        <x:v>https://www.thepaper.cn/newsDetail_forward_34194239</x:v>
      </x:c>
    </x:row>
    <x:row r="9" ht="36" customHeight="1">
      <x:c r="A9" s="60" t="str">
        <x:v>S05</x:v>
      </x:c>
      <x:c r="B9" s="60" t="str">
        <x:v>民政部2024年结婚登记数据</x:v>
      </x:c>
      <x:c r="C9" s="60" t="str">
        <x:v>中国新闻网转引民政部</x:v>
      </x:c>
      <x:c r="D9" s="60" t="str">
        <x:v>2024</x:v>
      </x:c>
      <x:c r="E9" s="60" t="str">
        <x:v>媒体转引官方</x:v>
      </x:c>
      <x:c r="F9" s="60" t="str">
        <x:v>结婚登记610.6万对。</x:v>
      </x:c>
      <x:c r="G9" s="60" t="str">
        <x:v>结婚登记不是婚恋服务交易。</x:v>
      </x:c>
      <x:c r="H9" s="60" t="str">
        <x:v>公开正文或搜索索引已核实</x:v>
      </x:c>
      <x:c r="I9" s="60" t="str">
        <x:v>2026-10-21</x:v>
      </x:c>
      <x:c r="J9" s="60" t="str">
        <x:v>https://www.chinanews.com/gn/2025/07-30/10456428.shtml</x:v>
      </x:c>
    </x:row>
    <x:row r="10" ht="36" customHeight="1">
      <x:c r="A10" s="60" t="str">
        <x:v>S06</x:v>
      </x:c>
      <x:c r="B10" s="60" t="str">
        <x:v>2021年民政事业发展统计公报</x:v>
      </x:c>
      <x:c r="C10" s="60" t="str">
        <x:v>民政部 中国社会保障学会留存</x:v>
      </x:c>
      <x:c r="D10" s="60" t="str">
        <x:v>2021</x:v>
      </x:c>
      <x:c r="E10" s="60" t="str">
        <x:v>官方文件转载</x:v>
      </x:c>
      <x:c r="F10" s="60" t="str">
        <x:v>结婚登记764.3万对。</x:v>
      </x:c>
      <x:c r="G10" s="60" t="str">
        <x:v>原发布渠道非当前访问地址。</x:v>
      </x:c>
      <x:c r="H10" s="60" t="str">
        <x:v>公开正文或搜索索引已核实</x:v>
      </x:c>
      <x:c r="I10" s="60" t="str">
        <x:v>2026-10-21</x:v>
      </x:c>
      <x:c r="J10" s="60" t="str">
        <x:v>https://www.caoss.org.cn/UploadFile/pic/20229122301585532.pdf</x:v>
      </x:c>
    </x:row>
    <x:row r="11" ht="36" customHeight="1">
      <x:c r="A11" s="60" t="str">
        <x:v>S07</x:v>
      </x:c>
      <x:c r="B11" s="60" t="str">
        <x:v>2022年民政事业发展统计公报</x:v>
      </x:c>
      <x:c r="C11" s="60" t="str">
        <x:v>民政部 中国社会保障学会留存</x:v>
      </x:c>
      <x:c r="D11" s="60" t="str">
        <x:v>2022</x:v>
      </x:c>
      <x:c r="E11" s="60" t="str">
        <x:v>官方文件转载</x:v>
      </x:c>
      <x:c r="F11" s="60" t="str">
        <x:v>结婚登记683.5万对。</x:v>
      </x:c>
      <x:c r="G11" s="60" t="str">
        <x:v>历史公报。</x:v>
      </x:c>
      <x:c r="H11" s="60" t="str">
        <x:v>公开正文或搜索索引已核实</x:v>
      </x:c>
      <x:c r="I11" s="60" t="str">
        <x:v>2026-10-21</x:v>
      </x:c>
      <x:c r="J11" s="60" t="str">
        <x:v>https://www.caoss.org.cn/upload/news/20240710/79f02d06dd1545f18ed1f9d6de28ccf0.pdf</x:v>
      </x:c>
    </x:row>
    <x:row r="12" ht="36" customHeight="1">
      <x:c r="A12" s="60" t="str">
        <x:v>S08</x:v>
      </x:c>
      <x:c r="B12" s="60" t="str">
        <x:v>2023年民政事业发展统计公报</x:v>
      </x:c>
      <x:c r="C12" s="60" t="str">
        <x:v>民政部</x:v>
      </x:c>
      <x:c r="D12" s="60" t="str">
        <x:v>2023</x:v>
      </x:c>
      <x:c r="E12" s="60" t="str">
        <x:v>官方统计</x:v>
      </x:c>
      <x:c r="F12" s="60" t="str">
        <x:v>年度结婚登记768.2万对。</x:v>
      </x:c>
      <x:c r="G12" s="60" t="str">
        <x:v>链接由学术引文定位，正文原站抓取受限；系列图中标注核实限制。</x:v>
      </x:c>
      <x:c r="H12" s="60" t="str">
        <x:v>原始链接定位；未取得正文</x:v>
      </x:c>
      <x:c r="I12" s="60" t="str">
        <x:v>2026-10-21</x:v>
      </x:c>
      <x:c r="J12" s="60" t="str">
        <x:v>https://www.mca.gov.cn/n156/n2679/c1662004999980001204/attr/355717.pdf</x:v>
      </x:c>
    </x:row>
    <x:row r="13" ht="36" customHeight="1">
      <x:c r="A13" s="60" t="str">
        <x:v>S09</x:v>
      </x:c>
      <x:c r="B13" s="60" t="str">
        <x:v>2025年居民收入和消费支出情况</x:v>
      </x:c>
      <x:c r="C13" s="60" t="str">
        <x:v>国家统计局</x:v>
      </x:c>
      <x:c r="D13" s="60" t="str">
        <x:v>2025</x:v>
      </x:c>
      <x:c r="E13" s="60" t="str">
        <x:v>官方统计</x:v>
      </x:c>
      <x:c r="F13" s="60" t="str">
        <x:v>全国居民收入43377元，消费29476元。</x:v>
      </x:c>
      <x:c r="G13" s="60" t="str">
        <x:v>全国人均不能推断目标客户预算。</x:v>
      </x:c>
      <x:c r="H13" s="60" t="str">
        <x:v>公开正文或搜索索引已核实</x:v>
      </x:c>
      <x:c r="I13" s="60" t="str">
        <x:v>2026-10-21</x:v>
      </x:c>
      <x:c r="J13" s="60" t="str">
        <x:v>https://www.stats.gov.cn/sj/zxfb/202601/t20260119_1962321.html</x:v>
      </x:c>
    </x:row>
    <x:row r="14" ht="36" customHeight="1">
      <x:c r="A14" s="60" t="str">
        <x:v>S10</x:v>
      </x:c>
      <x:c r="B14" s="60" t="str">
        <x:v>2023中国私人财富报告</x:v>
      </x:c>
      <x:c r="C14" s="60" t="str">
        <x:v>招商银行与贝恩</x:v>
      </x:c>
      <x:c r="D14" s="60" t="str">
        <x:v>2022存量及2023调查</x:v>
      </x:c>
      <x:c r="E14" s="60" t="str">
        <x:v>第三方研究</x:v>
      </x:c>
      <x:c r="F14" s="60" t="str">
        <x:v>2022年可投资资产超过千万的个人316万人。</x:v>
      </x:c>
      <x:c r="G14" s="60" t="str">
        <x:v>个人可投资资产口径，非家庭总资产；不是2026人口数。</x:v>
      </x:c>
      <x:c r="H14" s="60" t="str">
        <x:v>贝恩原始PDF完整下载并提取</x:v>
      </x:c>
      <x:c r="I14" s="60" t="str">
        <x:v>2026-10-21</x:v>
      </x:c>
      <x:c r="J14" s="60" t="str">
        <x:v>https://www.bain.com.cn/pdfs/202309051133339091.pdf</x:v>
      </x:c>
    </x:row>
    <x:row r="15" ht="36" customHeight="1">
      <x:c r="A15" s="60" t="str">
        <x:v>S11</x:v>
      </x:c>
      <x:c r="B15" s="60" t="str">
        <x:v>2026胡润至尚优品中国高净值人群品质生活报告</x:v>
      </x:c>
      <x:c r="C15" s="60" t="str">
        <x:v>胡润研究院</x:v>
      </x:c>
      <x:c r="D15" s="60" t="str">
        <x:v>2025行为及2026意向</x:v>
      </x:c>
      <x:c r="E15" s="60" t="str">
        <x:v>第三方样本调查</x:v>
      </x:c>
      <x:c r="F15" s="60" t="str">
        <x:v>470位千万资产受访者，78%来自一线城市；旅游支出净增加意向58%，服务体验预算意向增加12%。</x:v>
      </x:c>
      <x:c r="G15" s="60" t="str">
        <x:v>非随机全国代表样本；意向非实付；家庭资产与可投资资产不可混用。</x:v>
      </x:c>
      <x:c r="H15" s="60" t="str">
        <x:v>公开正文或搜索索引已核实</x:v>
      </x:c>
      <x:c r="I15" s="60" t="str">
        <x:v>2026-10-21</x:v>
      </x:c>
      <x:c r="J15" s="60" t="str">
        <x:v>https://www.hurun.net/zh-CN/Info/Detail?num=CSX6BTOMEWY4</x:v>
      </x:c>
    </x:row>
    <x:row r="16" ht="50" customHeight="1">
      <x:c r="A16" s="60" t="str">
        <x:v>S12</x:v>
      </x:c>
      <x:c r="B16" s="60" t="str">
        <x:v>挚文集团2025年度业绩发布</x:v>
      </x:c>
      <x:c r="C16" s="60" t="str">
        <x:v>Hello Group</x:v>
      </x:c>
      <x:c r="D16" s="60" t="str">
        <x:v>2025</x:v>
      </x:c>
      <x:c r="E16" s="60" t="str">
        <x:v>上市公司业绩发布</x:v>
      </x:c>
      <x:c r="F16" s="60" t="str">
        <x:v>收入103.671亿元，同比下降1.9%；Q4陌陌付费390万、探探60万。</x:v>
      </x:c>
      <x:c r="G16" s="60" t="str">
        <x:v>全球集团含海外及增值服务；非高端线下社群市场，发布数据未经审计。</x:v>
      </x:c>
      <x:c r="H16" s="60" t="str">
        <x:v>公开正文或搜索索引已核实</x:v>
      </x:c>
      <x:c r="I16" s="60" t="str">
        <x:v>2026-10-21</x:v>
      </x:c>
      <x:c r="J16" s="60" t="str">
        <x:v>https://ir.hellogroup.com/news-releases/news-release-details/hello-group-inc-announces-unaudited-financial-results-fourth-3</x:v>
      </x:c>
    </x:row>
    <x:row r="17" ht="36" customHeight="1">
      <x:c r="A17" s="60" t="str">
        <x:v>S13</x:v>
      </x:c>
      <x:c r="B17" s="60" t="str">
        <x:v>北京市2025年国民经济和社会发展统计公报</x:v>
      </x:c>
      <x:c r="C17" s="60" t="str">
        <x:v>北京市统计部门</x:v>
      </x:c>
      <x:c r="D17" s="60" t="str">
        <x:v>2025</x:v>
      </x:c>
      <x:c r="E17" s="60" t="str">
        <x:v>官方统计</x:v>
      </x:c>
      <x:c r="F17" s="60" t="str">
        <x:v>人口与城市背景。</x:v>
      </x:c>
      <x:c r="G17" s="60" t="str">
        <x:v>全市总量不等于高端付费客户。</x:v>
      </x:c>
      <x:c r="H17" s="60" t="str">
        <x:v>公开正文或搜索索引已核实</x:v>
      </x:c>
      <x:c r="I17" s="60" t="str">
        <x:v>2026-10-21</x:v>
      </x:c>
      <x:c r="J17" s="60" t="str">
        <x:v>https://www.beijing.gov.cn/cs/gncs/zcwj/202603/t20260327_4568228.html</x:v>
      </x:c>
    </x:row>
    <x:row r="18" ht="36" customHeight="1">
      <x:c r="A18" s="60" t="str">
        <x:v>S14</x:v>
      </x:c>
      <x:c r="B18" s="60" t="str">
        <x:v>2025年北京居民收入</x:v>
      </x:c>
      <x:c r="C18" s="60" t="str">
        <x:v>北京市统计局</x:v>
      </x:c>
      <x:c r="D18" s="60" t="str">
        <x:v>2025</x:v>
      </x:c>
      <x:c r="E18" s="60" t="str">
        <x:v>官方统计</x:v>
      </x:c>
      <x:c r="F18" s="60" t="str">
        <x:v>居民人均可支配收入89090元。</x:v>
      </x:c>
      <x:c r="G18" s="60" t="str">
        <x:v>人均，非家庭，非高净值样本。</x:v>
      </x:c>
      <x:c r="H18" s="60" t="str">
        <x:v>公开正文或搜索索引已核实</x:v>
      </x:c>
      <x:c r="I18" s="60" t="str">
        <x:v>2026-10-21</x:v>
      </x:c>
      <x:c r="J18" s="60" t="str">
        <x:v>https://tjj.beijing.gov.cn/tjsj_31433/sjjd_31444/202601/t20260121_4451962.html</x:v>
      </x:c>
    </x:row>
    <x:row r="19" ht="36" customHeight="1">
      <x:c r="A19" s="60" t="str">
        <x:v>S15</x:v>
      </x:c>
      <x:c r="B19" s="60" t="str">
        <x:v>2025年上海市国民经济和社会发展统计公报</x:v>
      </x:c>
      <x:c r="C19" s="60" t="str">
        <x:v>上海市统计局</x:v>
      </x:c>
      <x:c r="D19" s="60" t="str">
        <x:v>2025</x:v>
      </x:c>
      <x:c r="E19" s="60" t="str">
        <x:v>官方统计</x:v>
      </x:c>
      <x:c r="F19" s="60" t="str">
        <x:v>常住人口2485.41万人，居民收入91987元。</x:v>
      </x:c>
      <x:c r="G19" s="60" t="str">
        <x:v>全市口径。</x:v>
      </x:c>
      <x:c r="H19" s="60" t="str">
        <x:v>公开正文或搜索索引已核实</x:v>
      </x:c>
      <x:c r="I19" s="60" t="str">
        <x:v>2026-10-21</x:v>
      </x:c>
      <x:c r="J19" s="60" t="str">
        <x:v>https://tjj.sh.gov.cn/tjgb/20260330/e0772941e8e041eaaad2df850b44ef98.html</x:v>
      </x:c>
    </x:row>
    <x:row r="20" ht="36" customHeight="1">
      <x:c r="A20" s="60" t="str">
        <x:v>S16</x:v>
      </x:c>
      <x:c r="B20" s="60" t="str">
        <x:v>深圳市2025年国民经济和社会发展统计公报</x:v>
      </x:c>
      <x:c r="C20" s="60" t="str">
        <x:v>深圳市统计局</x:v>
      </x:c>
      <x:c r="D20" s="60" t="str">
        <x:v>2025</x:v>
      </x:c>
      <x:c r="E20" s="60" t="str">
        <x:v>官方统计</x:v>
      </x:c>
      <x:c r="F20" s="60" t="str">
        <x:v>城镇常住人口1820.96万人，居民收入84945元。</x:v>
      </x:c>
      <x:c r="G20" s="60" t="str">
        <x:v>城镇人口不与其他城市总人口直接同列比较。</x:v>
      </x:c>
      <x:c r="H20" s="60" t="str">
        <x:v>公开正文或搜索索引已核实</x:v>
      </x:c>
      <x:c r="I20" s="60" t="str">
        <x:v>2026-10-21</x:v>
      </x:c>
      <x:c r="J20" s="60" t="str">
        <x:v>https://tjj.sz.gov.cn/zwgk/zfxxgkml/tjsj/tjgb/content/post_12803919.html</x:v>
      </x:c>
    </x:row>
    <x:row r="21" ht="36" customHeight="1">
      <x:c r="A21" s="60" t="str">
        <x:v>S17</x:v>
      </x:c>
      <x:c r="B21" s="60" t="str">
        <x:v>年轻人社交新方式调查</x:v>
      </x:c>
      <x:c r="C21" s="60" t="str">
        <x:v>中国青年报社会调查中心与问卷网</x:v>
      </x:c>
      <x:c r="D21" s="60" t="str">
        <x:v>2023</x:v>
      </x:c>
      <x:c r="E21" s="60" t="str">
        <x:v>媒体样本调查</x:v>
      </x:c>
      <x:c r="F21" s="60" t="str">
        <x:v>样本1335人，72.6%有搭子；择搭子关注兴趣70.1%、节奏48.5%、消费观46.5%。</x:v>
      </x:c>
      <x:c r="G21" s="60" t="str">
        <x:v>非高净值定向调查，不外推全国比例。</x:v>
      </x:c>
      <x:c r="H21" s="60" t="str">
        <x:v>公开正文或搜索索引已核实</x:v>
      </x:c>
      <x:c r="I21" s="60" t="str">
        <x:v>2026-10-21</x:v>
      </x:c>
      <x:c r="J21" s="60" t="str">
        <x:v>https://zqb1.cyol.com/html/2023-06/01/nw.D110000zgqnb_20230601_2-10.htm</x:v>
      </x:c>
    </x:row>
    <x:row r="22" ht="36" customHeight="1">
      <x:c r="A22" s="60" t="str">
        <x:v>S18</x:v>
      </x:c>
      <x:c r="B22" s="60" t="str">
        <x:v>社交平台中的搭子社交现象研究</x:v>
      </x:c>
      <x:c r="C22" s="60" t="str">
        <x:v>王慧 新媒体研究</x:v>
      </x:c>
      <x:c r="D22" s="60" t="str">
        <x:v>2025 11卷5期67—70页</x:v>
      </x:c>
      <x:c r="E22" s="60" t="str">
        <x:v>学术研究</x:v>
      </x:c>
      <x:c r="F22" s="60" t="str">
        <x:v>以小红书为例讨论媒介可供性与搭子社交。</x:v>
      </x:c>
      <x:c r="G22" s="60" t="str">
        <x:v>已核实摘要和书目信息，不从摘要推算市场规模。</x:v>
      </x:c>
      <x:c r="H22" s="60" t="str">
        <x:v>公开正文或搜索索引已核实</x:v>
      </x:c>
      <x:c r="I22" s="60" t="str">
        <x:v>2026-10-21</x:v>
      </x:c>
      <x:c r="J22" s="60" t="str">
        <x:v>https://www.xmtyj.org.cn/zh/article/doi/10.16604/j.cnki.issn2096-0360.2025.05.009/</x:v>
      </x:c>
    </x:row>
    <x:row r="23" ht="36" customHeight="1">
      <x:c r="A23" s="60" t="str">
        <x:v>S19</x:v>
      </x:c>
      <x:c r="B23" s="60" t="str">
        <x:v>搭子社交青年社交模式的新表征</x:v>
      </x:c>
      <x:c r="C23" s="60" t="str">
        <x:v>廉思 人民论坛</x:v>
      </x:c>
      <x:c r="D23" s="60" t="str">
        <x:v>2024-05</x:v>
      </x:c>
      <x:c r="E23" s="60" t="str">
        <x:v>理论分析</x:v>
      </x:c>
      <x:c r="F23" s="60" t="str">
        <x:v>弱关系需求、边界和低负担交往。</x:v>
      </x:c>
      <x:c r="G23" s="60" t="str">
        <x:v>理论解释不是付费验证。</x:v>
      </x:c>
      <x:c r="H23" s="60" t="str">
        <x:v>公开正文或搜索索引已核实</x:v>
      </x:c>
      <x:c r="I23" s="60" t="str">
        <x:v>2026-10-21</x:v>
      </x:c>
      <x:c r="J23" s="60" t="str">
        <x:v>https://paper.people.com.cn/rmlt/html/2024-05/01/content_26070980.htm</x:v>
      </x:c>
    </x:row>
    <x:row r="24" ht="36" customHeight="1">
      <x:c r="A24" s="60" t="str">
        <x:v>S20</x:v>
      </x:c>
      <x:c r="B24" s="60" t="str">
        <x:v>婚介服务消费调查</x:v>
      </x:c>
      <x:c r="C24" s="60" t="str">
        <x:v>广州市消费者委员会</x:v>
      </x:c>
      <x:c r="D24" s="60" t="str">
        <x:v>2023</x:v>
      </x:c>
      <x:c r="E24" s="60" t="str">
        <x:v>消保调查</x:v>
      </x:c>
      <x:c r="F24" s="60" t="str">
        <x:v>实际服务不符、审核与退费是调查关注点。</x:v>
      </x:c>
      <x:c r="G24" s="60" t="str">
        <x:v>历史抽样，不能推定所有机构当前违规。</x:v>
      </x:c>
      <x:c r="H24" s="60" t="str">
        <x:v>公开正文或搜索索引已核实</x:v>
      </x:c>
      <x:c r="I24" s="60" t="str">
        <x:v>2026-10-21</x:v>
      </x:c>
      <x:c r="J24" s="60" t="str">
        <x:v>https://www.guangzhou315.com/html/web/diaochaticha/26247.html</x:v>
      </x:c>
    </x:row>
    <x:row r="25" ht="28" customHeight="1">
      <x:c r="A25" s="60" t="str">
        <x:v>S21</x:v>
      </x:c>
      <x:c r="B25" s="60" t="str">
        <x:v>婚恋平台格式条款调查</x:v>
      </x:c>
      <x:c r="C25" s="60" t="str">
        <x:v>安徽省消保委</x:v>
      </x:c>
      <x:c r="D25" s="60" t="str">
        <x:v>2022</x:v>
      </x:c>
      <x:c r="E25" s="60" t="str">
        <x:v>消保调查</x:v>
      </x:c>
      <x:c r="F25" s="60" t="str">
        <x:v>调查15家平台的格式条款。</x:v>
      </x:c>
      <x:c r="G25" s="60" t="str">
        <x:v>合同风险样本，不能推算投诉率。</x:v>
      </x:c>
      <x:c r="H25" s="60" t="str">
        <x:v>公开正文或搜索索引已核实</x:v>
      </x:c>
      <x:c r="I25" s="60" t="str">
        <x:v>2026-10-21</x:v>
      </x:c>
      <x:c r="J25" s="60" t="str">
        <x:v>https://www.ah315.cn/display.asp?id=139071</x:v>
      </x:c>
    </x:row>
    <x:row r="26" ht="28" customHeight="1">
      <x:c r="A26" s="60" t="str">
        <x:v>S22</x:v>
      </x:c>
      <x:c r="B26" s="60" t="str">
        <x:v>京城俱乐部简介</x:v>
      </x:c>
      <x:c r="C26" s="60" t="str">
        <x:v>京城俱乐部</x:v>
      </x:c>
      <x:c r="D26" s="60" t="str">
        <x:v>页面无发布日期</x:v>
      </x:c>
      <x:c r="E26" s="60" t="str">
        <x:v>机构自述</x:v>
      </x:c>
      <x:c r="F26" s="60" t="str">
        <x:v>商务、餐饮、康乐及家庭活动，会员空间。</x:v>
      </x:c>
      <x:c r="G26" s="60" t="str">
        <x:v>网络资源数量与其他页面有差异，不作为规模统计。</x:v>
      </x:c>
      <x:c r="H26" s="60" t="str">
        <x:v>公开正文或搜索索引已核实</x:v>
      </x:c>
      <x:c r="I26" s="60" t="str">
        <x:v>2026-10-21</x:v>
      </x:c>
      <x:c r="J26" s="60" t="str">
        <x:v>https://thecapitalclub.com/zh-hans/julebulishi/</x:v>
      </x:c>
    </x:row>
    <x:row r="27" ht="28" customHeight="1">
      <x:c r="A27" s="60" t="str">
        <x:v>S23</x:v>
      </x:c>
      <x:c r="B27" s="60" t="str">
        <x:v>京城俱乐部会员权益</x:v>
      </x:c>
      <x:c r="C27" s="60" t="str">
        <x:v>京城俱乐部</x:v>
      </x:c>
      <x:c r="D27" s="60" t="str">
        <x:v>采集时可访问</x:v>
      </x:c>
      <x:c r="E27" s="60" t="str">
        <x:v>机构自述</x:v>
      </x:c>
      <x:c r="F27" s="60" t="str">
        <x:v>餐饮、包间、设施、活动邀请与互惠网络。</x:v>
      </x:c>
      <x:c r="G27" s="60" t="str">
        <x:v>未披露当前会费及续费。</x:v>
      </x:c>
      <x:c r="H27" s="60" t="str">
        <x:v>公开正文或搜索索引已核实</x:v>
      </x:c>
      <x:c r="I27" s="60" t="str">
        <x:v>2026-10-21</x:v>
      </x:c>
      <x:c r="J27" s="60" t="str">
        <x:v>https://thecapitalclub.com/membership/</x:v>
      </x:c>
    </x:row>
    <x:row r="28" ht="28" customHeight="1">
      <x:c r="A28" s="60" t="str">
        <x:v>S24</x:v>
      </x:c>
      <x:c r="B28" s="60" t="str">
        <x:v>京城俱乐部活动</x:v>
      </x:c>
      <x:c r="C28" s="60" t="str">
        <x:v>京城俱乐部</x:v>
      </x:c>
      <x:c r="D28" s="60" t="str">
        <x:v>未标时间</x:v>
      </x:c>
      <x:c r="E28" s="60" t="str">
        <x:v>机构自述</x:v>
      </x:c>
      <x:c r="F28" s="60" t="str">
        <x:v>商务午餐、大使论坛及文化餐酒运动等活动类别。</x:v>
      </x:c>
      <x:c r="G28" s="60" t="str">
        <x:v>类别清单不是近期实际举办场次。</x:v>
      </x:c>
      <x:c r="H28" s="60" t="str">
        <x:v>公开正文或搜索索引已核实</x:v>
      </x:c>
      <x:c r="I28" s="60" t="str">
        <x:v>2026-10-21</x:v>
      </x:c>
      <x:c r="J28" s="60" t="str">
        <x:v>https://thecapitalclub.com/clubactiveties/</x:v>
      </x:c>
    </x:row>
    <x:row r="29" ht="36" customHeight="1">
      <x:c r="A29" s="60" t="str">
        <x:v>S25</x:v>
      </x:c>
      <x:c r="B29" s="60" t="str">
        <x:v>京城俱乐部规章制度</x:v>
      </x:c>
      <x:c r="C29" s="60" t="str">
        <x:v>京城俱乐部</x:v>
      </x:c>
      <x:c r="D29" s="60" t="str">
        <x:v>未标时间</x:v>
      </x:c>
      <x:c r="E29" s="60" t="str">
        <x:v>机构规则</x:v>
      </x:c>
      <x:c r="F29" s="60" t="str">
        <x:v>预约及会籍管理规则。</x:v>
      </x:c>
      <x:c r="G29" s="60" t="str">
        <x:v>不是完整合同。</x:v>
      </x:c>
      <x:c r="H29" s="60" t="str">
        <x:v>公开正文或搜索索引已核实</x:v>
      </x:c>
      <x:c r="I29" s="60" t="str">
        <x:v>2026-10-21</x:v>
      </x:c>
      <x:c r="J29" s="60" t="str">
        <x:v>https://thecapitalclub.com/zh-hans/julebulishi/zhuozhuangyaoqiu/jingchengjulebuguizhangzhidu/</x:v>
      </x:c>
    </x:row>
    <x:row r="30" ht="28" customHeight="1">
      <x:c r="A30" s="60" t="str">
        <x:v>S26</x:v>
      </x:c>
      <x:c r="B30" s="60" t="str">
        <x:v>京城俱乐部会员新春活动</x:v>
      </x:c>
      <x:c r="C30" s="60" t="str">
        <x:v>京津冀消息通</x:v>
      </x:c>
      <x:c r="D30" s="60" t="str">
        <x:v>2026-02-06活动</x:v>
      </x:c>
      <x:c r="E30" s="60" t="str">
        <x:v>第三方活动转载</x:v>
      </x:c>
      <x:c r="F30" s="60" t="str">
        <x:v>报道称会员与外交及合作方百余人出席。</x:v>
      </x:c>
      <x:c r="G30" s="60" t="str">
        <x:v>总出席含嘉宾，不等于会员数；非原始主办方数据。</x:v>
      </x:c>
      <x:c r="H30" s="60" t="str">
        <x:v>公开正文或搜索索引已核实</x:v>
      </x:c>
      <x:c r="I30" s="60" t="str">
        <x:v>2026-10-21</x:v>
      </x:c>
      <x:c r="J30" s="60" t="str">
        <x:v>https://www.sohu.com/a/986741574_121106842</x:v>
      </x:c>
    </x:row>
    <x:row r="31" ht="28" customHeight="1">
      <x:c r="A31" s="60" t="str">
        <x:v>S27</x:v>
      </x:c>
      <x:c r="B31" s="60" t="str">
        <x:v>国际奥艺机构与京城俱乐部合作新闻</x:v>
      </x:c>
      <x:c r="C31" s="60" t="str">
        <x:v>WVADC</x:v>
      </x:c>
      <x:c r="D31" s="60" t="str">
        <x:v>2026-01-15会面</x:v>
      </x:c>
      <x:c r="E31" s="60" t="str">
        <x:v>合作方自述</x:v>
      </x:c>
      <x:c r="F31" s="60" t="str">
        <x:v>与俱乐部合作会面记录。</x:v>
      </x:c>
      <x:c r="G31" s="60" t="str">
        <x:v>合作会议，不等于公开售票社交活动。</x:v>
      </x:c>
      <x:c r="H31" s="60" t="str">
        <x:v>公开正文或搜索索引已核实</x:v>
      </x:c>
      <x:c r="I31" s="60" t="str">
        <x:v>2026-10-21</x:v>
      </x:c>
      <x:c r="J31" s="60" t="str">
        <x:v>https://wvadc.org/news/</x:v>
      </x:c>
    </x:row>
    <x:row r="32" ht="36" customHeight="1">
      <x:c r="A32" s="60" t="str">
        <x:v>S28</x:v>
      </x:c>
      <x:c r="B32" s="60" t="str">
        <x:v>伟事达中国产品价格体系</x:v>
      </x:c>
      <x:c r="C32" s="60" t="str">
        <x:v>伟事达品牌产品页</x:v>
      </x:c>
      <x:c r="D32" s="60" t="str">
        <x:v>页面标2026</x:v>
      </x:c>
      <x:c r="E32" s="60" t="str">
        <x:v>机构标价</x:v>
      </x:c>
      <x:c r="F32" s="60" t="str">
        <x:v>CE148000元年费；SE96000元；KE78000元；CE与SE首次注册3000元。</x:v>
      </x:c>
      <x:c r="G32" s="60" t="str">
        <x:v>仅搜索索引可读，正文超时；未验证合同、成交与退改。</x:v>
      </x:c>
      <x:c r="H32" s="60" t="str">
        <x:v>搜索索引正文可读；直接打开超时</x:v>
      </x:c>
      <x:c r="I32" s="60" t="str">
        <x:v>2026-10-21</x:v>
      </x:c>
      <x:c r="J32" s="60" t="str">
        <x:v>https://www.oldchair.cn/wsdhy_jiage</x:v>
      </x:c>
    </x:row>
    <x:row r="33" ht="36" customHeight="1">
      <x:c r="A33" s="60" t="str">
        <x:v>S29</x:v>
      </x:c>
      <x:c r="B33" s="60" t="str">
        <x:v>伟事达中国机构说明</x:v>
      </x:c>
      <x:c r="C33" s="60" t="str">
        <x:v>伟事达中国</x:v>
      </x:c>
      <x:c r="D33" s="60" t="str">
        <x:v>近2026-09资讯</x:v>
      </x:c>
      <x:c r="E33" s="60" t="str">
        <x:v>机构自述</x:v>
      </x:c>
      <x:c r="F33" s="60" t="str">
        <x:v>12—16人非竞争同侪小组；教练、专家与社区；全球4.5万会员。</x:v>
      </x:c>
      <x:c r="G33" s="60" t="str">
        <x:v>全球会员不是中国会员；增长对比不构成因果证据。</x:v>
      </x:c>
      <x:c r="H33" s="60" t="str">
        <x:v>索引可读；直接打开超时</x:v>
      </x:c>
      <x:c r="I33" s="60" t="str">
        <x:v>2026-10-21</x:v>
      </x:c>
      <x:c r="J33" s="60" t="str">
        <x:v>https://www.oldchair.com.cn/</x:v>
      </x:c>
    </x:row>
    <x:row r="34" ht="36" customHeight="1">
      <x:c r="A34" s="60" t="str">
        <x:v>S30</x:v>
      </x:c>
      <x:c r="B34" s="60" t="str">
        <x:v>伟事达私董会小组产品说明书</x:v>
      </x:c>
      <x:c r="C34" s="60" t="str">
        <x:v>伟事达中国</x:v>
      </x:c>
      <x:c r="D34" s="60" t="str">
        <x:v>历史产品页</x:v>
      </x:c>
      <x:c r="E34" s="60" t="str">
        <x:v>机构自述</x:v>
      </x:c>
      <x:c r="F34" s="60" t="str">
        <x:v>教练面试、组员认可、地点轮流安排。</x:v>
      </x:c>
      <x:c r="G34" s="60" t="str">
        <x:v>索引阅读；与2026价格页分开。</x:v>
      </x:c>
      <x:c r="H34" s="60" t="str">
        <x:v>搜索索引可读；正文超时</x:v>
      </x:c>
      <x:c r="I34" s="60" t="str">
        <x:v>2026-10-21</x:v>
      </x:c>
      <x:c r="J34" s="60" t="str">
        <x:v>https://www.oldchair.com.cn/newsinfo/6793034.html</x:v>
      </x:c>
    </x:row>
    <x:row r="35" ht="36" customHeight="1">
      <x:c r="A35" s="60" t="str">
        <x:v>S31</x:v>
      </x:c>
      <x:c r="B35" s="60" t="str">
        <x:v>伟事达068组马来西亚游学</x:v>
      </x:c>
      <x:c r="C35" s="60" t="str">
        <x:v>伟事达中国</x:v>
      </x:c>
      <x:c r="D35" s="60" t="str">
        <x:v>2026-06-03至07</x:v>
      </x:c>
      <x:c r="E35" s="60" t="str">
        <x:v>机构活动自述</x:v>
      </x:c>
      <x:c r="F35" s="60" t="str">
        <x:v>教练陈萌带队的海外私董游学。</x:v>
      </x:c>
      <x:c r="G35" s="60" t="str">
        <x:v>无公开售票价、完整名单与复购数据。</x:v>
      </x:c>
      <x:c r="H35" s="60" t="str">
        <x:v>搜索索引可读；正文超时</x:v>
      </x:c>
      <x:c r="I35" s="60" t="str">
        <x:v>2026-10-21</x:v>
      </x:c>
      <x:c r="J35" s="60" t="str">
        <x:v>https://www.oldchair.com.cn/newsinfo/11223526.html</x:v>
      </x:c>
    </x:row>
    <x:row r="36" ht="28" customHeight="1">
      <x:c r="A36" s="60" t="str">
        <x:v>S32</x:v>
      </x:c>
      <x:c r="B36" s="60" t="str">
        <x:v>GEIA GBA活动回顾</x:v>
      </x:c>
      <x:c r="C36" s="60" t="str">
        <x:v>GEIA全球会展转载</x:v>
      </x:c>
      <x:c r="D36" s="60" t="str">
        <x:v>2026-09-09至11</x:v>
      </x:c>
      <x:c r="E36" s="60" t="str">
        <x:v>活动主办方自述</x:v>
      </x:c>
      <x:c r="F36" s="60" t="str">
        <x:v>同期活动包含VISTAGE私董会。</x:v>
      </x:c>
      <x:c r="G36" s="60" t="str">
        <x:v>大会1687人不能归为私董会到场。</x:v>
      </x:c>
      <x:c r="H36" s="60" t="str">
        <x:v>公开正文或搜索索引已核实</x:v>
      </x:c>
      <x:c r="I36" s="60" t="str">
        <x:v>2026-10-21</x:v>
      </x:c>
      <x:c r="J36" s="60" t="str">
        <x:v>https://www.10100.com/article/151357444</x:v>
      </x:c>
    </x:row>
    <x:row r="37" ht="36" customHeight="1">
      <x:c r="A37" s="60" t="str">
        <x:v>S33</x:v>
      </x:c>
      <x:c r="B37" s="60" t="str">
        <x:v>耀悦产品与起价</x:v>
      </x:c>
      <x:c r="C37" s="60" t="str">
        <x:v>耀悦</x:v>
      </x:c>
      <x:c r="D37" s="60" t="str">
        <x:v>页面未标团期</x:v>
      </x:c>
      <x:c r="E37" s="60" t="str">
        <x:v>机构标价</x:v>
      </x:c>
      <x:c r="F37" s="60" t="str">
        <x:v>潮汕6天7000起、英国人文12天36800起、南非11天68500起、九州列车4天129800起。</x:v>
      </x:c>
      <x:c r="G37" s="60" t="str">
        <x:v>首页团期未标，完整包含未得；新笔记报价单列，不作为直接调价证据。</x:v>
      </x:c>
      <x:c r="H37" s="60" t="str">
        <x:v>官方站桌面文本成功留存；移动版动态显示不足</x:v>
      </x:c>
      <x:c r="I37" s="60" t="str">
        <x:v>2026-10-21</x:v>
      </x:c>
      <x:c r="J37" s="60" t="str">
        <x:v>https://www.sparkletour.com/?from=websitedict.com</x:v>
      </x:c>
    </x:row>
    <x:row r="38" ht="28" customHeight="1">
      <x:c r="A38" s="60" t="str">
        <x:v>S34</x:v>
      </x:c>
      <x:c r="B38" s="60" t="str">
        <x:v>耀悦服务介绍</x:v>
      </x:c>
      <x:c r="C38" s="60" t="str">
        <x:v>耀悦</x:v>
      </x:c>
      <x:c r="D38" s="60" t="str">
        <x:v>采集时</x:v>
      </x:c>
      <x:c r="E38" s="60" t="str">
        <x:v>机构自述</x:v>
      </x:c>
      <x:c r="F38" s="60" t="str">
        <x:v>顾问式旅行定制、精英消费者及机构服务。</x:v>
      </x:c>
      <x:c r="G38" s="60" t="str">
        <x:v>服务伙伴数不是客户数。</x:v>
      </x:c>
      <x:c r="H38" s="60" t="str">
        <x:v>公开正文或搜索索引已核实</x:v>
      </x:c>
      <x:c r="I38" s="60" t="str">
        <x:v>2026-10-21</x:v>
      </x:c>
      <x:c r="J38" s="60" t="str">
        <x:v>https://m.sparkletour.com/</x:v>
      </x:c>
    </x:row>
    <x:row r="39" ht="28" customHeight="1">
      <x:c r="A39" s="60" t="str">
        <x:v>S35</x:v>
      </x:c>
      <x:c r="B39" s="60" t="str">
        <x:v>耀悦私人定制案例</x:v>
      </x:c>
      <x:c r="C39" s="60" t="str">
        <x:v>耀悦</x:v>
      </x:c>
      <x:c r="D39" s="60" t="str">
        <x:v>2018—2019案例</x:v>
      </x:c>
      <x:c r="E39" s="60" t="str">
        <x:v>机构历史案例</x:v>
      </x:c>
      <x:c r="F39" s="60" t="str">
        <x:v>包机旅行、专家同行及自然文化体验。</x:v>
      </x:c>
      <x:c r="G39" s="60" t="str">
        <x:v>历史示范案例，不证明当前排期。</x:v>
      </x:c>
      <x:c r="H39" s="60" t="str">
        <x:v>公开正文或搜索索引已核实</x:v>
      </x:c>
      <x:c r="I39" s="60" t="str">
        <x:v>2026-10-21</x:v>
      </x:c>
      <x:c r="J39" s="60" t="str">
        <x:v>https://www.sparkletour.com/customise/</x:v>
      </x:c>
    </x:row>
    <x:row r="40" ht="36" customHeight="1">
      <x:c r="A40" s="60" t="str">
        <x:v>S36</x:v>
      </x:c>
      <x:c r="B40" s="60" t="str">
        <x:v>中青旅2025年度报告</x:v>
      </x:c>
      <x:c r="C40" s="60" t="str">
        <x:v>中青旅 巨潮资讯披露</x:v>
      </x:c>
      <x:c r="D40" s="60" t="str">
        <x:v>2025</x:v>
      </x:c>
      <x:c r="E40" s="60" t="str">
        <x:v>上市公司披露</x:v>
      </x:c>
      <x:c r="F40" s="60" t="str">
        <x:v>耀悦关联投资见年度报告127—128及203—204印刷页；不将权益法投资收益视为品牌营业收入。</x:v>
      </x:c>
      <x:c r="G40" s="60" t="str">
        <x:v>集团收入不能归为耀悦品牌收入，股权收益不等于品牌收入。</x:v>
      </x:c>
      <x:c r="H40" s="60" t="str">
        <x:v>完整PDF已下载并检索关联投资表</x:v>
      </x:c>
      <x:c r="I40" s="60" t="str">
        <x:v>2026-10-21</x:v>
      </x:c>
      <x:c r="J40" s="60" t="str">
        <x:v>https://static.cninfo.com.cn/finalpage/2026-04-25/1225188439.PDF</x:v>
      </x:c>
    </x:row>
    <x:row r="41" ht="36" customHeight="1">
      <x:c r="A41" s="60" t="str">
        <x:v>S37</x:v>
      </x:c>
      <x:c r="B41" s="60" t="str">
        <x:v>HIGHER CLUB机构介绍</x:v>
      </x:c>
      <x:c r="C41" s="60" t="str">
        <x:v>HIGHER CLUB</x:v>
      </x:c>
      <x:c r="D41" s="60" t="str">
        <x:v>采集时</x:v>
      </x:c>
      <x:c r="E41" s="60" t="str">
        <x:v>机构自述</x:v>
      </x:c>
      <x:c r="F41" s="60" t="str">
        <x:v>精选会员、审核、晚宴、艺术、品牌合作。</x:v>
      </x:c>
      <x:c r="G41" s="60" t="str">
        <x:v>资产、成员质量及150+资源未经独立验证；未披露付费会员。</x:v>
      </x:c>
      <x:c r="H41" s="60" t="str">
        <x:v>公开正文或搜索索引已核实</x:v>
      </x:c>
      <x:c r="I41" s="60" t="str">
        <x:v>2026-10-21</x:v>
      </x:c>
      <x:c r="J41" s="60" t="str">
        <x:v>https://www.higherclub.cn/</x:v>
      </x:c>
    </x:row>
    <x:row r="42" ht="36" customHeight="1">
      <x:c r="A42" s="60" t="str">
        <x:v>S38</x:v>
      </x:c>
      <x:c r="B42" s="60" t="str">
        <x:v>EO China East Fact Sheet</x:v>
      </x:c>
      <x:c r="C42" s="60" t="str">
        <x:v>EO</x:v>
      </x:c>
      <x:c r="D42" s="60" t="str">
        <x:v>2026-09-30</x:v>
      </x:c>
      <x:c r="E42" s="60" t="str">
        <x:v>组织自述</x:v>
      </x:c>
      <x:c r="F42" s="60" t="str">
        <x:v>109名分会会员；全球年费2630美元、首次3500美元；地方会费字段0。</x:v>
      </x:c>
      <x:c r="G42" s="60" t="str">
        <x:v>地方0可能缺项，员工数据明显异常；不能宣称分会免费。</x:v>
      </x:c>
      <x:c r="H42" s="60" t="str">
        <x:v>公开正文或搜索索引已核实</x:v>
      </x:c>
      <x:c r="I42" s="60" t="str">
        <x:v>2026-10-21</x:v>
      </x:c>
      <x:c r="J42" s="60" t="str">
        <x:v>https://member.eonetwork.org/chinaeast/about-our-chapter/</x:v>
      </x:c>
    </x:row>
    <x:row r="43" ht="36" customHeight="1">
      <x:c r="A43" s="60" t="str">
        <x:v>S39</x:v>
      </x:c>
      <x:c r="B43" s="60" t="str">
        <x:v>正和岛官方开发者介绍</x:v>
      </x:c>
      <x:c r="C43" s="60" t="str">
        <x:v>正和岛 App Store</x:v>
      </x:c>
      <x:c r="D43" s="60" t="str">
        <x:v>采集时</x:v>
      </x:c>
      <x:c r="E43" s="60" t="str">
        <x:v>开发者自述</x:v>
      </x:c>
      <x:c r="F43" s="60" t="str">
        <x:v>企业家案例共学和商业链接。</x:v>
      </x:c>
      <x:c r="G43" s="60" t="str">
        <x:v>服务企业、APP用户和媒体触达是不同口径。</x:v>
      </x:c>
      <x:c r="H43" s="60" t="str">
        <x:v>公开正文或搜索索引已核实</x:v>
      </x:c>
      <x:c r="I43" s="60" t="str">
        <x:v>2026-10-21</x:v>
      </x:c>
      <x:c r="J43" s="60" t="str">
        <x:v>https://apps.apple.com/cn/app/正和岛/id525751375</x:v>
      </x:c>
    </x:row>
    <x:row r="44" ht="36" customHeight="1">
      <x:c r="A44" s="60" t="str">
        <x:v>S40</x:v>
      </x:c>
      <x:c r="B44" s="60" t="str">
        <x:v>深圳侨商会籍与价格</x:v>
      </x:c>
      <x:c r="C44" s="60" t="str">
        <x:v>深圳市侨商国际联合会</x:v>
      </x:c>
      <x:c r="D44" s="60" t="str">
        <x:v>未标生效期</x:v>
      </x:c>
      <x:c r="E44" s="60" t="str">
        <x:v>组织标价</x:v>
      </x:c>
      <x:c r="F44" s="60" t="str">
        <x:v>会员3000、理事10000、副会长30000、常务副会长50000元每年。</x:v>
      </x:c>
      <x:c r="G44" s="60" t="str">
        <x:v>有身份准入，职务层级不等于高端社交服务等级；非营利组织对标。</x:v>
      </x:c>
      <x:c r="H44" s="60" t="str">
        <x:v>公开正文或搜索索引已核实</x:v>
      </x:c>
      <x:c r="I44" s="60" t="str">
        <x:v>2026-10-21</x:v>
      </x:c>
      <x:c r="J44" s="60" t="str">
        <x:v>https://www.socia.org/Member/user/Chamber.html</x:v>
      </x:c>
    </x:row>
    <x:row r="45" ht="50" customHeight="1">
      <x:c r="A45" s="60" t="str">
        <x:v>S41</x:v>
      </x:c>
      <x:c r="B45" s="60" t="str">
        <x:v>上海美国商会青少年项目</x:v>
      </x:c>
      <x:c r="C45" s="60" t="str">
        <x:v>上海美国商会官方报名平台</x:v>
      </x:c>
      <x:c r="D45" s="60" t="str">
        <x:v>2026-07-09至10</x:v>
      </x:c>
      <x:c r="E45" s="60" t="str">
        <x:v>组织活动标价</x:v>
      </x:c>
      <x:c r="F45" s="60" t="str">
        <x:v>会员子女3500元、非会员6000元；报名审核及取消截止时间。</x:v>
      </x:c>
      <x:c r="G45" s="60" t="str">
        <x:v>是青少年企业学习项目，不代表成人社交定价。</x:v>
      </x:c>
      <x:c r="H45" s="60" t="str">
        <x:v>公开正文或搜索索引已核实</x:v>
      </x:c>
      <x:c r="I45" s="60" t="str">
        <x:v>2026-10-21</x:v>
      </x:c>
      <x:c r="J45" s="60" t="str">
        <x:v>https://amcham-shanghai.glueup.cn/event/2026-summer-youth-program-2-days-上海美国商会暑期青少年项目-50062/</x:v>
      </x:c>
    </x:row>
    <x:row r="46" ht="28" customHeight="1">
      <x:c r="A46" s="60" t="str">
        <x:v>S42</x:v>
      </x:c>
      <x:c r="B46" s="60" t="str">
        <x:v>中欧EMBA学费信息</x:v>
      </x:c>
      <x:c r="C46" s="60" t="str">
        <x:v>中欧国际工商学院</x:v>
      </x:c>
      <x:c r="D46" s="60" t="str">
        <x:v>2026级</x:v>
      </x:c>
      <x:c r="E46" s="60" t="str">
        <x:v>机构标价</x:v>
      </x:c>
      <x:c r="F46" s="60" t="str">
        <x:v>学费828000、报名1800；部分食宿交通另付。</x:v>
      </x:c>
      <x:c r="G46" s="60" t="str">
        <x:v>学历及课程替代品，不能直接作为社群年费锚。</x:v>
      </x:c>
      <x:c r="H46" s="60" t="str">
        <x:v>公开正文或搜索索引已核实</x:v>
      </x:c>
      <x:c r="I46" s="60" t="str">
        <x:v>2026-10-21</x:v>
      </x:c>
      <x:c r="J46" s="60" t="str">
        <x:v>https://cn.ceibs.edu/node/99</x:v>
      </x:c>
    </x:row>
    <x:row r="47" ht="28" customHeight="1">
      <x:c r="A47" s="60" t="str">
        <x:v>S43</x:v>
      </x:c>
      <x:c r="B47" s="60" t="str">
        <x:v>长江EMBA常见问题</x:v>
      </x:c>
      <x:c r="C47" s="60" t="str">
        <x:v>长江商学院</x:v>
      </x:c>
      <x:c r="D47" s="60" t="str">
        <x:v>2026级</x:v>
      </x:c>
      <x:c r="E47" s="60" t="str">
        <x:v>机构标价</x:v>
      </x:c>
      <x:c r="F47" s="60" t="str">
        <x:v>学费998000元，申请2000元。</x:v>
      </x:c>
      <x:c r="G47" s="60" t="str">
        <x:v>两年项目；退款与日期相关。</x:v>
      </x:c>
      <x:c r="H47" s="60" t="str">
        <x:v>公开正文或搜索索引已核实</x:v>
      </x:c>
      <x:c r="I47" s="60" t="str">
        <x:v>2026-10-21</x:v>
      </x:c>
      <x:c r="J47" s="60" t="str">
        <x:v>https://www.ckgsb.com/emba/common_problems/</x:v>
      </x:c>
    </x:row>
    <x:row r="48" ht="36" customHeight="1">
      <x:c r="A48" s="60" t="str">
        <x:v>S44</x:v>
      </x:c>
      <x:c r="B48" s="60" t="str">
        <x:v>高金金融EMBA招生</x:v>
      </x:c>
      <x:c r="C48" s="60" t="str">
        <x:v>上海交通大学高金</x:v>
      </x:c>
      <x:c r="D48" s="60" t="str">
        <x:v>2026级</x:v>
      </x:c>
      <x:c r="E48" s="60" t="str">
        <x:v>机构标价</x:v>
      </x:c>
      <x:c r="F48" s="60" t="str">
        <x:v>学费828000元。</x:v>
      </x:c>
      <x:c r="G48" s="60" t="str">
        <x:v>教育产品，不是社交会员费。</x:v>
      </x:c>
      <x:c r="H48" s="60" t="str">
        <x:v>公开正文或搜索索引已核实</x:v>
      </x:c>
      <x:c r="I48" s="60" t="str">
        <x:v>2026-10-21</x:v>
      </x:c>
      <x:c r="J48" s="60" t="str">
        <x:v>https://emba.saif.sjtu.edu.cn/emba_mobile/content/show/236-887.html</x:v>
      </x:c>
    </x:row>
    <x:row r="49" ht="36" customHeight="1">
      <x:c r="A49" s="60" t="str">
        <x:v>S45</x:v>
      </x:c>
      <x:c r="B49" s="60" t="str">
        <x:v>上海财经金融EMBA</x:v>
      </x:c>
      <x:c r="C49" s="60" t="str">
        <x:v>上海财经大学</x:v>
      </x:c>
      <x:c r="D49" s="60" t="str">
        <x:v>2026级</x:v>
      </x:c>
      <x:c r="E49" s="60" t="str">
        <x:v>机构自述</x:v>
      </x:c>
      <x:c r="F49" s="60" t="str">
        <x:v>金融EMBA培养与课程。</x:v>
      </x:c>
      <x:c r="G49" s="60" t="str">
        <x:v>未提取价格。</x:v>
      </x:c>
      <x:c r="H49" s="60" t="str">
        <x:v>公开正文或搜索索引已核实</x:v>
      </x:c>
      <x:c r="I49" s="60" t="str">
        <x:v>2026-10-21</x:v>
      </x:c>
      <x:c r="J49" s="60" t="str">
        <x:v>https://cob.sufe.edu.cn/websites/MBA/Admissions/EMBA-Financial-2026/index.html</x:v>
      </x:c>
    </x:row>
    <x:row r="50" ht="28" customHeight="1">
      <x:c r="A50" s="60" t="str">
        <x:v>S46</x:v>
      </x:c>
      <x:c r="B50" s="60" t="str">
        <x:v>清华五道口金融EMBA</x:v>
      </x:c>
      <x:c r="C50" s="60" t="str">
        <x:v>清华大学五道口金融学院</x:v>
      </x:c>
      <x:c r="D50" s="60" t="str">
        <x:v>采集时</x:v>
      </x:c>
      <x:c r="E50" s="60" t="str">
        <x:v>机构自述</x:v>
      </x:c>
      <x:c r="F50" s="60" t="str">
        <x:v>产融结合终身学习、海外访学。</x:v>
      </x:c>
      <x:c r="G50" s="60" t="str">
        <x:v>与商业俱乐部的学历和资源条件不同。</x:v>
      </x:c>
      <x:c r="H50" s="60" t="str">
        <x:v>公开正文或搜索索引已核实</x:v>
      </x:c>
      <x:c r="I50" s="60" t="str">
        <x:v>2026-10-21</x:v>
      </x:c>
      <x:c r="J50" s="60" t="str">
        <x:v>https://emba.pbcsf.tsinghua.edu.cn/index.htm</x:v>
      </x:c>
    </x:row>
    <x:row r="51" ht="28" customHeight="1">
      <x:c r="A51" s="60" t="str">
        <x:v>S47</x:v>
      </x:c>
      <x:c r="B51" s="60" t="str">
        <x:v>北大汇丰高管教育</x:v>
      </x:c>
      <x:c r="C51" s="60" t="str">
        <x:v>北京大学汇丰商学院</x:v>
      </x:c>
      <x:c r="D51" s="60" t="str">
        <x:v>采集时及2025活动</x:v>
      </x:c>
      <x:c r="E51" s="60" t="str">
        <x:v>机构自述</x:v>
      </x:c>
      <x:c r="F51" s="60" t="str">
        <x:v>课程、游学及企业家活动。</x:v>
      </x:c>
      <x:c r="G51" s="60" t="str">
        <x:v>未核实当前项目费用。</x:v>
      </x:c>
      <x:c r="H51" s="60" t="str">
        <x:v>公开正文或搜索索引已核实</x:v>
      </x:c>
      <x:c r="I51" s="60" t="str">
        <x:v>2026-10-21</x:v>
      </x:c>
      <x:c r="J51" s="60" t="str">
        <x:v>https://edp.phbs.pku.edu.cn/</x:v>
      </x:c>
    </x:row>
    <x:row r="52" ht="28" customHeight="1">
      <x:c r="A52" s="60" t="str">
        <x:v>S48</x:v>
      </x:c>
      <x:c r="B52" s="60" t="str">
        <x:v>深商联介绍</x:v>
      </x:c>
      <x:c r="C52" s="60" t="str">
        <x:v>深圳市商业联合会</x:v>
      </x:c>
      <x:c r="D52" s="60" t="str">
        <x:v>采集时</x:v>
      </x:c>
      <x:c r="E52" s="60" t="str">
        <x:v>组织自述</x:v>
      </x:c>
      <x:c r="F52" s="60" t="str">
        <x:v>企业服务、产业联盟、俱乐部与申请入会入口。</x:v>
      </x:c>
      <x:c r="G52" s="60" t="str">
        <x:v>3000多家服务企业非有效付费会员。</x:v>
      </x:c>
      <x:c r="H52" s="60" t="str">
        <x:v>公开正文或搜索索引已核实</x:v>
      </x:c>
      <x:c r="I52" s="60" t="str">
        <x:v>2026-10-21</x:v>
      </x:c>
      <x:c r="J52" s="60" t="str">
        <x:v>https://www.shenshang.org/sgcc/about-sgcc</x:v>
      </x:c>
    </x:row>
    <x:row r="53" ht="28" customHeight="1">
      <x:c r="A53" s="60" t="str">
        <x:v>S49</x:v>
      </x:c>
      <x:c r="B53" s="60" t="str">
        <x:v>亚布力中国企业家论坛介绍</x:v>
      </x:c>
      <x:c r="C53" s="60" t="str">
        <x:v>亚布力论坛</x:v>
      </x:c>
      <x:c r="D53" s="60" t="str">
        <x:v>采集时</x:v>
      </x:c>
      <x:c r="E53" s="60" t="str">
        <x:v>组织自述</x:v>
      </x:c>
      <x:c r="F53" s="60" t="str">
        <x:v>企业家交流与论坛。</x:v>
      </x:c>
      <x:c r="G53" s="60" t="str">
        <x:v>论坛与长期付费社交权益不同。</x:v>
      </x:c>
      <x:c r="H53" s="60" t="str">
        <x:v>公开正文或搜索索引已核实</x:v>
      </x:c>
      <x:c r="I53" s="60" t="str">
        <x:v>2026-10-21</x:v>
      </x:c>
      <x:c r="J53" s="60" t="str">
        <x:v>https://www.cefco.cn/about/index.html</x:v>
      </x:c>
    </x:row>
    <x:row r="54" ht="28" customHeight="1">
      <x:c r="A54" s="60" t="str">
        <x:v>S50</x:v>
      </x:c>
      <x:c r="B54" s="60" t="str">
        <x:v>混沌企业学习</x:v>
      </x:c>
      <x:c r="C54" s="60" t="str">
        <x:v>混沌</x:v>
      </x:c>
      <x:c r="D54" s="60" t="str">
        <x:v>采集时</x:v>
      </x:c>
      <x:c r="E54" s="60" t="str">
        <x:v>机构自述</x:v>
      </x:c>
      <x:c r="F54" s="60" t="str">
        <x:v>课程、训练营、内训等。</x:v>
      </x:c>
      <x:c r="G54" s="60" t="str">
        <x:v>线上学习用户不是线下社群付费会员。</x:v>
      </x:c>
      <x:c r="H54" s="60" t="str">
        <x:v>公开正文或搜索索引已核实</x:v>
      </x:c>
      <x:c r="I54" s="60" t="str">
        <x:v>2026-10-21</x:v>
      </x:c>
      <x:c r="J54" s="60" t="str">
        <x:v>https://ttobapi.hundun.cn/</x:v>
      </x:c>
    </x:row>
    <x:row r="55" ht="28" customHeight="1">
      <x:c r="A55" s="60" t="str">
        <x:v>S51</x:v>
      </x:c>
      <x:c r="B55" s="60" t="str">
        <x:v>德申汇平台介绍</x:v>
      </x:c>
      <x:c r="C55" s="60" t="str">
        <x:v>德申汇</x:v>
      </x:c>
      <x:c r="D55" s="60" t="str">
        <x:v>采集时</x:v>
      </x:c>
      <x:c r="E55" s="60" t="str">
        <x:v>机构自述</x:v>
      </x:c>
      <x:c r="F55" s="60" t="str">
        <x:v>线上线下商务社交与俱乐部。</x:v>
      </x:c>
      <x:c r="G55" s="60" t="str">
        <x:v>德申京城俱乐部不是The Capital Club，必须消歧。</x:v>
      </x:c>
      <x:c r="H55" s="60" t="str">
        <x:v>公开正文或搜索索引已核实</x:v>
      </x:c>
      <x:c r="I55" s="60" t="str">
        <x:v>2026-10-21</x:v>
      </x:c>
      <x:c r="J55" s="60" t="str">
        <x:v>https://www.detion.com/about</x:v>
      </x:c>
    </x:row>
    <x:row r="56" ht="28" customHeight="1">
      <x:c r="A56" s="60" t="str">
        <x:v>S52</x:v>
      </x:c>
      <x:c r="B56" s="60" t="str">
        <x:v>黑骑士球员俱乐部会籍</x:v>
      </x:c>
      <x:c r="C56" s="60" t="str">
        <x:v>黑骑士球员俱乐部</x:v>
      </x:c>
      <x:c r="D56" s="60" t="str">
        <x:v>采集时</x:v>
      </x:c>
      <x:c r="E56" s="60" t="str">
        <x:v>机构自述</x:v>
      </x:c>
      <x:c r="F56" s="60" t="str">
        <x:v>钻石、黑钻石、居住、社交会籍。</x:v>
      </x:c>
      <x:c r="G56" s="60" t="str">
        <x:v>会籍价格未公开。</x:v>
      </x:c>
      <x:c r="H56" s="60" t="str">
        <x:v>公开正文或搜索索引已核实</x:v>
      </x:c>
      <x:c r="I56" s="60" t="str">
        <x:v>2026-10-21</x:v>
      </x:c>
      <x:c r="J56" s="60" t="str">
        <x:v>https://www.tpc.com.cn/membership</x:v>
      </x:c>
    </x:row>
    <x:row r="57" ht="36" customHeight="1">
      <x:c r="A57" s="60" t="str">
        <x:v>S53</x:v>
      </x:c>
      <x:c r="B57" s="60" t="str">
        <x:v>北京香港马会会所介绍</x:v>
      </x:c>
      <x:c r="C57" s="60" t="str">
        <x:v>北京香港马会会所</x:v>
      </x:c>
      <x:c r="D57" s="60" t="str">
        <x:v>采集时</x:v>
      </x:c>
      <x:c r="E57" s="60" t="str">
        <x:v>机构自述</x:v>
      </x:c>
      <x:c r="F57" s="60" t="str">
        <x:v>餐饮康体、住宿、商务与社交。</x:v>
      </x:c>
      <x:c r="G57" s="60" t="str">
        <x:v>不等于香港全部会籍权益。</x:v>
      </x:c>
      <x:c r="H57" s="60" t="str">
        <x:v>公开正文或搜索索引已核实</x:v>
      </x:c>
      <x:c r="I57" s="60" t="str">
        <x:v>2026-10-21</x:v>
      </x:c>
      <x:c r="J57" s="60" t="str">
        <x:v>https://www.beijingclubhouse.com/zh-CN/aboutus-thebeijingclubhouse.aspx</x:v>
      </x:c>
    </x:row>
    <x:row r="58" ht="36" customHeight="1">
      <x:c r="A58" s="60" t="str">
        <x:v>S54</x:v>
      </x:c>
      <x:c r="B58" s="60" t="str">
        <x:v>雍福会服务介绍</x:v>
      </x:c>
      <x:c r="C58" s="60" t="str">
        <x:v>上海文旅推广网</x:v>
      </x:c>
      <x:c r="D58" s="60" t="str">
        <x:v>采集时</x:v>
      </x:c>
      <x:c r="E58" s="60" t="str">
        <x:v>目的地机构介绍</x:v>
      </x:c>
      <x:c r="F58" s="60" t="str">
        <x:v>餐饮、微信预订和个性化服务。</x:v>
      </x:c>
      <x:c r="G58" s="60" t="str">
        <x:v>不证明现行付费会员制。</x:v>
      </x:c>
      <x:c r="H58" s="60" t="str">
        <x:v>公开正文或搜索索引已核实</x:v>
      </x:c>
      <x:c r="I58" s="60" t="str">
        <x:v>2026-10-21</x:v>
      </x:c>
      <x:c r="J58" s="60" t="str">
        <x:v>https://www.meet-in-shanghai.net/cn/food/yongfu-club-882569/</x:v>
      </x:c>
    </x:row>
    <x:row r="59" ht="36" customHeight="1">
      <x:c r="A59" s="60" t="str">
        <x:v>S55</x:v>
      </x:c>
      <x:c r="B59" s="60" t="str">
        <x:v>KEE Club介绍</x:v>
      </x:c>
      <x:c r="C59" s="60" t="str">
        <x:v>Condé Nast Traveler</x:v>
      </x:c>
      <x:c r="D59" s="60" t="str">
        <x:v>页面未标</x:v>
      </x:c>
      <x:c r="E59" s="60" t="str">
        <x:v>媒体观察</x:v>
      </x:c>
      <x:c r="F59" s="60" t="str">
        <x:v>上海餐饮与会员空间。</x:v>
      </x:c>
      <x:c r="G59" s="60" t="str">
        <x:v>价格历史信息不用于当前定价；经营状态需进一步核实。</x:v>
      </x:c>
      <x:c r="H59" s="60" t="str">
        <x:v>公开正文或搜索索引已核实</x:v>
      </x:c>
      <x:c r="I59" s="60" t="str">
        <x:v>2026-10-21</x:v>
      </x:c>
      <x:c r="J59" s="60" t="str">
        <x:v>https://www.cntraveler.com/bars/shanghai/kee-club</x:v>
      </x:c>
    </x:row>
    <x:row r="60" ht="28" customHeight="1">
      <x:c r="A60" s="60" t="str">
        <x:v>S56</x:v>
      </x:c>
      <x:c r="B60" s="60" t="str">
        <x:v>上海卫智马术</x:v>
      </x:c>
      <x:c r="C60" s="60" t="str">
        <x:v>上海卫智马术</x:v>
      </x:c>
      <x:c r="D60" s="60" t="str">
        <x:v>采集时</x:v>
      </x:c>
      <x:c r="E60" s="60" t="str">
        <x:v>机构自述</x:v>
      </x:c>
      <x:c r="F60" s="60" t="str">
        <x:v>马术、亲子及团建。</x:v>
      </x:c>
      <x:c r="G60" s="60" t="str">
        <x:v>兴趣设施类替代品，不推定客户资产。</x:v>
      </x:c>
      <x:c r="H60" s="60" t="str">
        <x:v>公开正文或搜索索引已核实</x:v>
      </x:c>
      <x:c r="I60" s="60" t="str">
        <x:v>2026-10-21</x:v>
      </x:c>
      <x:c r="J60" s="60" t="str">
        <x:v>https://www.shanghaiwestend.com/</x:v>
      </x:c>
    </x:row>
    <x:row r="61" ht="28" customHeight="1">
      <x:c r="A61" s="60" t="str">
        <x:v>S57</x:v>
      </x:c>
      <x:c r="B61" s="60" t="str">
        <x:v>鸿鹄逸游</x:v>
      </x:c>
      <x:c r="C61" s="60" t="str">
        <x:v>鸿鹄逸游 携程</x:v>
      </x:c>
      <x:c r="D61" s="60" t="str">
        <x:v>采集时</x:v>
      </x:c>
      <x:c r="E61" s="60" t="str">
        <x:v>机构自述</x:v>
      </x:c>
      <x:c r="F61" s="60" t="str">
        <x:v>全球目的地和奢华旅行主题。</x:v>
      </x:c>
      <x:c r="G61" s="60" t="str">
        <x:v>动态页面价格未取得。</x:v>
      </x:c>
      <x:c r="H61" s="60" t="str">
        <x:v>公开正文或搜索索引已核实</x:v>
      </x:c>
      <x:c r="I61" s="60" t="str">
        <x:v>2026-10-21</x:v>
      </x:c>
      <x:c r="J61" s="60" t="str">
        <x:v>https://www.hhtravel.com/</x:v>
      </x:c>
    </x:row>
    <x:row r="62" ht="28" customHeight="1">
      <x:c r="A62" s="60" t="str">
        <x:v>S58</x:v>
      </x:c>
      <x:c r="B62" s="60" t="str">
        <x:v>碧山旅行</x:v>
      </x:c>
      <x:c r="C62" s="60" t="str">
        <x:v>碧山旅行</x:v>
      </x:c>
      <x:c r="D62" s="60" t="str">
        <x:v>采集时</x:v>
      </x:c>
      <x:c r="E62" s="60" t="str">
        <x:v>机构自述</x:v>
      </x:c>
      <x:c r="F62" s="60" t="str">
        <x:v>深度定制体验。</x:v>
      </x:c>
      <x:c r="G62" s="60" t="str">
        <x:v>WildChina与碧山同品牌体系，不重复计算独立机构。</x:v>
      </x:c>
      <x:c r="H62" s="60" t="str">
        <x:v>公开正文或搜索索引已核实</x:v>
      </x:c>
      <x:c r="I62" s="60" t="str">
        <x:v>2026-10-21</x:v>
      </x:c>
      <x:c r="J62" s="60" t="str">
        <x:v>https://www.beshan.com/</x:v>
      </x:c>
    </x:row>
    <x:row r="63" ht="28" customHeight="1">
      <x:c r="A63" s="60" t="str">
        <x:v>S59</x:v>
      </x:c>
      <x:c r="B63" s="60" t="str">
        <x:v>德迈国际旅行</x:v>
      </x:c>
      <x:c r="C63" s="60" t="str">
        <x:v>德迈</x:v>
      </x:c>
      <x:c r="D63" s="60" t="str">
        <x:v>采集时</x:v>
      </x:c>
      <x:c r="E63" s="60" t="str">
        <x:v>机构自述</x:v>
      </x:c>
      <x:c r="F63" s="60" t="str">
        <x:v>极地、主题特色与私人定制。</x:v>
      </x:c>
      <x:c r="G63" s="60" t="str">
        <x:v>具体报价与人数未公开核实。</x:v>
      </x:c>
      <x:c r="H63" s="60" t="str">
        <x:v>公开正文或搜索索引已核实</x:v>
      </x:c>
      <x:c r="I63" s="60" t="str">
        <x:v>2026-10-21</x:v>
      </x:c>
      <x:c r="J63" s="60" t="str">
        <x:v>https://www.itravellive.com/</x:v>
      </x:c>
    </x:row>
    <x:row r="64" ht="28" customHeight="1">
      <x:c r="A64" s="60" t="str">
        <x:v>S60</x:v>
      </x:c>
      <x:c r="B64" s="60" t="str">
        <x:v>赞那度</x:v>
      </x:c>
      <x:c r="C64" s="60" t="str">
        <x:v>赞那度</x:v>
      </x:c>
      <x:c r="D64" s="60" t="str">
        <x:v>采集时</x:v>
      </x:c>
      <x:c r="E64" s="60" t="str">
        <x:v>机构自述</x:v>
      </x:c>
      <x:c r="F64" s="60" t="str">
        <x:v>高端旅行及生活方式内容。</x:v>
      </x:c>
      <x:c r="G64" s="60" t="str">
        <x:v>索引可读，部分动态和访问受限。</x:v>
      </x:c>
      <x:c r="H64" s="60" t="str">
        <x:v>公开正文或搜索索引已核实</x:v>
      </x:c>
      <x:c r="I64" s="60" t="str">
        <x:v>2026-10-21</x:v>
      </x:c>
      <x:c r="J64" s="60" t="str">
        <x:v>https://zanadu.com.cn/</x:v>
      </x:c>
    </x:row>
    <x:row r="65" ht="28" customHeight="1">
      <x:c r="A65" s="60" t="str">
        <x:v>S61</x:v>
      </x:c>
      <x:c r="B65" s="60" t="str">
        <x:v>无二之旅介绍</x:v>
      </x:c>
      <x:c r="C65" s="60" t="str">
        <x:v>无二之旅</x:v>
      </x:c>
      <x:c r="D65" s="60" t="str">
        <x:v>采集时</x:v>
      </x:c>
      <x:c r="E65" s="60" t="str">
        <x:v>机构自述</x:v>
      </x:c>
      <x:c r="F65" s="60" t="str">
        <x:v>海外定制旅行，家庭、伴侣等。</x:v>
      </x:c>
      <x:c r="G65" s="60" t="str">
        <x:v>不预设都是高净值客户。</x:v>
      </x:c>
      <x:c r="H65" s="60" t="str">
        <x:v>公开正文或搜索索引已核实</x:v>
      </x:c>
      <x:c r="I65" s="60" t="str">
        <x:v>2026-10-21</x:v>
      </x:c>
      <x:c r="J65" s="60" t="str">
        <x:v>https://www.unikv.cn/about.html</x:v>
      </x:c>
    </x:row>
    <x:row r="66" ht="28" customHeight="1">
      <x:c r="A66" s="60" t="str">
        <x:v>S62</x:v>
      </x:c>
      <x:c r="B66" s="60" t="str">
        <x:v>佰悦会</x:v>
      </x:c>
      <x:c r="C66" s="60" t="str">
        <x:v>佰悦会</x:v>
      </x:c>
      <x:c r="D66" s="60" t="str">
        <x:v>采集时</x:v>
      </x:c>
      <x:c r="E66" s="60" t="str">
        <x:v>机构自述</x:v>
      </x:c>
      <x:c r="F66" s="60" t="str">
        <x:v>定制、礼宾、企业考察及客户答谢。</x:v>
      </x:c>
      <x:c r="G66" s="60" t="str">
        <x:v>100.travel与baitravel同品牌，只计一次。</x:v>
      </x:c>
      <x:c r="H66" s="60" t="str">
        <x:v>公开正文或搜索索引已核实</x:v>
      </x:c>
      <x:c r="I66" s="60" t="str">
        <x:v>2026-10-21</x:v>
      </x:c>
      <x:c r="J66" s="60" t="str">
        <x:v>https://www.100.travel/</x:v>
      </x:c>
    </x:row>
    <x:row r="67" ht="28" customHeight="1">
      <x:c r="A67" s="60" t="str">
        <x:v>S63</x:v>
      </x:c>
      <x:c r="B67" s="60" t="str">
        <x:v>八大洲旅游</x:v>
      </x:c>
      <x:c r="C67" s="60" t="str">
        <x:v>八大洲旅游</x:v>
      </x:c>
      <x:c r="D67" s="60" t="str">
        <x:v>采集时</x:v>
      </x:c>
      <x:c r="E67" s="60" t="str">
        <x:v>机构自述</x:v>
      </x:c>
      <x:c r="F67" s="60" t="str">
        <x:v>奢华酒店与定制旅行、小程序入口。</x:v>
      </x:c>
      <x:c r="G67" s="60" t="str">
        <x:v>未取得客户及留存。</x:v>
      </x:c>
      <x:c r="H67" s="60" t="str">
        <x:v>公开正文或搜索索引已核实</x:v>
      </x:c>
      <x:c r="I67" s="60" t="str">
        <x:v>2026-10-21</x:v>
      </x:c>
      <x:c r="J67" s="60" t="str">
        <x:v>https://www.badazhou.com/</x:v>
      </x:c>
    </x:row>
    <x:row r="68" ht="28" customHeight="1">
      <x:c r="A68" s="60" t="str">
        <x:v>S64</x:v>
      </x:c>
      <x:c r="B68" s="60" t="str">
        <x:v>松赞</x:v>
      </x:c>
      <x:c r="C68" s="60" t="str">
        <x:v>松赞</x:v>
      </x:c>
      <x:c r="D68" s="60" t="str">
        <x:v>采集时</x:v>
      </x:c>
      <x:c r="E68" s="60" t="str">
        <x:v>机构自述</x:v>
      </x:c>
      <x:c r="F68" s="60" t="str">
        <x:v>酒店及目的地线路。</x:v>
      </x:c>
      <x:c r="G68" s="60" t="str">
        <x:v>住客不等于付费社交会员。</x:v>
      </x:c>
      <x:c r="H68" s="60" t="str">
        <x:v>公开正文或搜索索引已核实</x:v>
      </x:c>
      <x:c r="I68" s="60" t="str">
        <x:v>2026-10-21</x:v>
      </x:c>
      <x:c r="J68" s="60" t="str">
        <x:v>https://www.songtsam.com/</x:v>
      </x:c>
    </x:row>
    <x:row r="69" ht="28" customHeight="1">
      <x:c r="A69" s="60" t="str">
        <x:v>S65</x:v>
      </x:c>
      <x:c r="B69" s="60" t="str">
        <x:v>Club Med中国</x:v>
      </x:c>
      <x:c r="C69" s="60" t="str">
        <x:v>Club Med</x:v>
      </x:c>
      <x:c r="D69" s="60" t="str">
        <x:v>采集时</x:v>
      </x:c>
      <x:c r="E69" s="60" t="str">
        <x:v>机构自述</x:v>
      </x:c>
      <x:c r="F69" s="60" t="str">
        <x:v>家庭、情侣、企业度假与预订入口。</x:v>
      </x:c>
      <x:c r="G69" s="60" t="str">
        <x:v>积分会员不同于收费社交会籍。</x:v>
      </x:c>
      <x:c r="H69" s="60" t="str">
        <x:v>公开正文或搜索索引已核实</x:v>
      </x:c>
      <x:c r="I69" s="60" t="str">
        <x:v>2026-10-21</x:v>
      </x:c>
      <x:c r="J69" s="60" t="str">
        <x:v>https://www.clubmed.com.cn/</x:v>
      </x:c>
    </x:row>
    <x:row r="70" ht="28" customHeight="1">
      <x:c r="A70" s="60" t="str">
        <x:v>S66</x:v>
      </x:c>
      <x:c r="B70" s="60" t="str">
        <x:v>野去自然旅行</x:v>
      </x:c>
      <x:c r="C70" s="60" t="str">
        <x:v>野去</x:v>
      </x:c>
      <x:c r="D70" s="60" t="str">
        <x:v>页面含2021历史资讯</x:v>
      </x:c>
      <x:c r="E70" s="60" t="str">
        <x:v>机构自述</x:v>
      </x:c>
      <x:c r="F70" s="60" t="str">
        <x:v>自然目的地和摄影主题旅行。</x:v>
      </x:c>
      <x:c r="G70" s="60" t="str">
        <x:v>展示人数缺少时间与定义，不用于当前规模。</x:v>
      </x:c>
      <x:c r="H70" s="60" t="str">
        <x:v>公开正文或搜索索引已核实</x:v>
      </x:c>
      <x:c r="I70" s="60" t="str">
        <x:v>2026-10-21</x:v>
      </x:c>
      <x:c r="J70" s="60" t="str">
        <x:v>https://www.yetravel.com/</x:v>
      </x:c>
    </x:row>
    <x:row r="71" ht="28" customHeight="1">
      <x:c r="A71" s="60" t="str">
        <x:v>S67</x:v>
      </x:c>
      <x:c r="B71" s="60" t="str">
        <x:v>我主良缘机构介绍</x:v>
      </x:c>
      <x:c r="C71" s="60" t="str">
        <x:v>我主良缘</x:v>
      </x:c>
      <x:c r="D71" s="60" t="str">
        <x:v>页面未标</x:v>
      </x:c>
      <x:c r="E71" s="60" t="str">
        <x:v>机构自述</x:v>
      </x:c>
      <x:c r="F71" s="60" t="str">
        <x:v>直营婚恋、红娘与辅导，声称38城62店。</x:v>
      </x:c>
      <x:c r="G71" s="60" t="str">
        <x:v>门店数量时点不明；无付费客户或续费数据。</x:v>
      </x:c>
      <x:c r="H71" s="60" t="str">
        <x:v>公开正文或搜索索引已核实</x:v>
      </x:c>
      <x:c r="I71" s="60" t="str">
        <x:v>2026-10-21</x:v>
      </x:c>
      <x:c r="J71" s="60" t="str">
        <x:v>https://m.liangyuan.com/about.html</x:v>
      </x:c>
    </x:row>
    <x:row r="72" ht="28" customHeight="1">
      <x:c r="A72" s="60" t="str">
        <x:v>S68</x:v>
      </x:c>
      <x:c r="B72" s="60" t="str">
        <x:v>珍爱网</x:v>
      </x:c>
      <x:c r="C72" s="60" t="str">
        <x:v>珍爱网</x:v>
      </x:c>
      <x:c r="D72" s="60" t="str">
        <x:v>采集时</x:v>
      </x:c>
      <x:c r="E72" s="60" t="str">
        <x:v>机构自述</x:v>
      </x:c>
      <x:c r="F72" s="60" t="str">
        <x:v>婚恋注册、筛选与服务。</x:v>
      </x:c>
      <x:c r="G72" s="60" t="str">
        <x:v>当前线下套餐价未公开核实。</x:v>
      </x:c>
      <x:c r="H72" s="60" t="str">
        <x:v>公开正文或搜索索引已核实</x:v>
      </x:c>
      <x:c r="I72" s="60" t="str">
        <x:v>2026-10-21</x:v>
      </x:c>
      <x:c r="J72" s="60" t="str">
        <x:v>https://www.zhenai.com/</x:v>
      </x:c>
    </x:row>
    <x:row r="73" ht="36" customHeight="1">
      <x:c r="A73" s="60" t="str">
        <x:v>S69</x:v>
      </x:c>
      <x:c r="B73" s="60" t="str">
        <x:v>世纪佳缘登录</x:v>
      </x:c>
      <x:c r="C73" s="60" t="str">
        <x:v>世纪佳缘</x:v>
      </x:c>
      <x:c r="D73" s="60" t="str">
        <x:v>采集时</x:v>
      </x:c>
      <x:c r="E73" s="60" t="str">
        <x:v>机构自述</x:v>
      </x:c>
      <x:c r="F73" s="60" t="str">
        <x:v>平台入口仍可访问。</x:v>
      </x:c>
      <x:c r="G73" s="60" t="str">
        <x:v>百合与佳缘属于同集团线索，地图合并列示；不以注册页推断经营健康。</x:v>
      </x:c>
      <x:c r="H73" s="60" t="str">
        <x:v>公开正文或搜索索引已核实</x:v>
      </x:c>
      <x:c r="I73" s="60" t="str">
        <x:v>2026-10-21</x:v>
      </x:c>
      <x:c r="J73" s="60" t="str">
        <x:v>https://login.jiayuan.com/</x:v>
      </x:c>
    </x:row>
    <x:row r="74" ht="28" customHeight="1">
      <x:c r="A74" s="60" t="str">
        <x:v>S70</x:v>
      </x:c>
      <x:c r="B74" s="60" t="str">
        <x:v>MarryU官方产品介绍</x:v>
      </x:c>
      <x:c r="C74" s="60" t="str">
        <x:v>MarryU</x:v>
      </x:c>
      <x:c r="D74" s="60" t="str">
        <x:v>页面含2018资料</x:v>
      </x:c>
      <x:c r="E74" s="60" t="str">
        <x:v>机构自述</x:v>
      </x:c>
      <x:c r="F74" s="60" t="str">
        <x:v>普通牵线、VIP一对一、定制及主题活动。</x:v>
      </x:c>
      <x:c r="G74" s="60" t="str">
        <x:v>累计用户滚动数字不可视为活跃，门店是历史描述。</x:v>
      </x:c>
      <x:c r="H74" s="60" t="str">
        <x:v>公开正文或搜索索引已核实</x:v>
      </x:c>
      <x:c r="I74" s="60" t="str">
        <x:v>2026-10-21</x:v>
      </x:c>
      <x:c r="J74" s="60" t="str">
        <x:v>https://m.51marryyou.com/</x:v>
      </x:c>
    </x:row>
    <x:row r="75" ht="36" customHeight="1">
      <x:c r="A75" s="60" t="str">
        <x:v>S71</x:v>
      </x:c>
      <x:c r="B75" s="60" t="str">
        <x:v>网易花田上线报道</x:v>
      </x:c>
      <x:c r="C75" s="60" t="str">
        <x:v>中国广播网</x:v>
      </x:c>
      <x:c r="D75" s="60" t="str">
        <x:v>2012</x:v>
      </x:c>
      <x:c r="E75" s="60" t="str">
        <x:v>历史媒体采访</x:v>
      </x:c>
      <x:c r="F75" s="60" t="str">
        <x:v>免费基础交友与增值服务的历史模式。</x:v>
      </x:c>
      <x:c r="G75" s="60" t="str">
        <x:v>仅历史替代案例，不代表当前收费或经营状态。</x:v>
      </x:c>
      <x:c r="H75" s="60" t="str">
        <x:v>公开正文或搜索索引已核实</x:v>
      </x:c>
      <x:c r="I75" s="60" t="str">
        <x:v>2026-10-21</x:v>
      </x:c>
      <x:c r="J75" s="60" t="str">
        <x:v>https://finance.cnr.cn/gs/201211/t20121108_511322939_1.shtml</x:v>
      </x:c>
    </x:row>
    <x:row r="76" ht="28" customHeight="1">
      <x:c r="A76" s="60" t="str">
        <x:v>S72</x:v>
      </x:c>
      <x:c r="B76" s="60" t="str">
        <x:v>Soul官方产品</x:v>
      </x:c>
      <x:c r="C76" s="60" t="str">
        <x:v>Soul</x:v>
      </x:c>
      <x:c r="D76" s="60" t="str">
        <x:v>采集时</x:v>
      </x:c>
      <x:c r="E76" s="60" t="str">
        <x:v>机构自述</x:v>
      </x:c>
      <x:c r="F76" s="60" t="str">
        <x:v>兴趣、个性、广场、群聊及AI功能。</x:v>
      </x:c>
      <x:c r="G76" s="60" t="str">
        <x:v>大众线上替代，不等于高端客户。</x:v>
      </x:c>
      <x:c r="H76" s="60" t="str">
        <x:v>公开正文或搜索索引已核实</x:v>
      </x:c>
      <x:c r="I76" s="60" t="str">
        <x:v>2026-10-21</x:v>
      </x:c>
      <x:c r="J76" s="60" t="str">
        <x:v>https://www.soulapp.cn/</x:v>
      </x:c>
    </x:row>
    <x:row r="77" ht="28" customHeight="1">
      <x:c r="A77" s="60" t="str">
        <x:v>S73</x:v>
      </x:c>
      <x:c r="B77" s="60" t="str">
        <x:v>上海美国商会项目</x:v>
      </x:c>
      <x:c r="C77" s="60" t="str">
        <x:v>上海美国商会</x:v>
      </x:c>
      <x:c r="D77" s="60" t="str">
        <x:v>采集时</x:v>
      </x:c>
      <x:c r="E77" s="60" t="str">
        <x:v>组织自述</x:v>
      </x:c>
      <x:c r="F77" s="60" t="str">
        <x:v>商务、委员会及活动平台。</x:v>
      </x:c>
      <x:c r="G77" s="60" t="str">
        <x:v>组织型替代，非面向所有人的商业社交俱乐部。</x:v>
      </x:c>
      <x:c r="H77" s="60" t="str">
        <x:v>公开正文或搜索索引已核实</x:v>
      </x:c>
      <x:c r="I77" s="60" t="str">
        <x:v>2026-10-21</x:v>
      </x:c>
      <x:c r="J77" s="60" t="str">
        <x:v>https://www.amcham-shanghai.org/</x:v>
      </x:c>
    </x:row>
    <x:row r="78" ht="50" customHeight="1">
      <x:c r="A78" s="60" t="str">
        <x:v>S74</x:v>
      </x:c>
      <x:c r="B78" s="60" t="str">
        <x:v>中国美国商会四川交流活动</x:v>
      </x:c>
      <x:c r="C78" s="60" t="str">
        <x:v>中国美国商会</x:v>
      </x:c>
      <x:c r="D78" s="60" t="str">
        <x:v>2026-06-25至26</x:v>
      </x:c>
      <x:c r="E78" s="60" t="str">
        <x:v>组织活动标价</x:v>
      </x:c>
      <x:c r="F78" s="60" t="str">
        <x:v>会员2500/3500元；非会员5000/6000元；高档含一晚住宿。</x:v>
      </x:c>
      <x:c r="G78" s="60" t="str">
        <x:v>含审批环节，活动地四川，不能当京沪深本地报价。</x:v>
      </x:c>
      <x:c r="H78" s="60" t="str">
        <x:v>公开正文或搜索索引已核实</x:v>
      </x:c>
      <x:c r="I78" s="60" t="str">
        <x:v>2026-10-21</x:v>
      </x:c>
      <x:c r="J78" s="60" t="str">
        <x:v>https://amcham.glueup.cn/event/sold-out-chengdu-en-cn-2026-amcham-china-dialogue-with-sichuan-provincial-government-50581/</x:v>
      </x:c>
    </x:row>
    <x:row r="79" ht="36" customHeight="1">
      <x:c r="A79" s="60" t="str">
        <x:v>S75</x:v>
      </x:c>
      <x:c r="B79" s="60" t="str">
        <x:v>个人信息保护法</x:v>
      </x:c>
      <x:c r="C79" s="60" t="str">
        <x:v>工信部法律文本</x:v>
      </x:c>
      <x:c r="D79" s="60" t="str">
        <x:v>2021法律</x:v>
      </x:c>
      <x:c r="E79" s="60" t="str">
        <x:v>法律原文</x:v>
      </x:c>
      <x:c r="F79" s="60" t="str">
        <x:v>敏感个人信息、必要性和单独同意规则。</x:v>
      </x:c>
      <x:c r="G79" s="60" t="str">
        <x:v>入会具体方案需结合数据与用途进一步审查。</x:v>
      </x:c>
      <x:c r="H79" s="60" t="str">
        <x:v>公开正文或搜索索引已核实</x:v>
      </x:c>
      <x:c r="I79" s="60" t="str">
        <x:v>2026-10-21</x:v>
      </x:c>
      <x:c r="J79" s="60" t="str">
        <x:v>https://www.miit.gov.cn/zwgk/zcwj/flfg/art/2022/art_04a0f1fb5df244e39688fd5372623a8d.html</x:v>
      </x:c>
    </x:row>
    <x:row r="80" ht="50" customHeight="1">
      <x:c r="A80" s="60" t="str">
        <x:v>S76</x:v>
      </x:c>
      <x:c r="B80" s="60" t="str">
        <x:v>旅行社条例</x:v>
      </x:c>
      <x:c r="C80" s="60" t="str">
        <x:v>市场监管总局法规文本</x:v>
      </x:c>
      <x:c r="D80" s="60" t="str">
        <x:v>公开现行文本</x:v>
      </x:c>
      <x:c r="E80" s="60" t="str">
        <x:v>法规原文</x:v>
      </x:c>
      <x:c r="F80" s="60" t="str">
        <x:v>招徕组织接待旅游者涉及旅行社业务规则。</x:v>
      </x:c>
      <x:c r="G80" s="60" t="str">
        <x:v>具体许可范围和合作责任需按经营结构核实。</x:v>
      </x:c>
      <x:c r="H80" s="60" t="str">
        <x:v>公开正文或搜索索引已核实</x:v>
      </x:c>
      <x:c r="I80" s="60" t="str">
        <x:v>2026-10-21</x:v>
      </x:c>
      <x:c r="J80" s="60" t="str">
        <x:v>https://www.samr.gov.cn/zw/zfxxgk/fdzdgknr/bgt/art/2023/art_ef2a9f2dcb674014bc451f3470a4b5cc.html</x:v>
      </x:c>
    </x:row>
    <x:row r="81" ht="50" customHeight="1">
      <x:c r="A81" s="60" t="str">
        <x:v>S77</x:v>
      </x:c>
      <x:c r="B81" s="60" t="str">
        <x:v>市场研究与竞争分析</x:v>
      </x:c>
      <x:c r="C81" s="60" t="str">
        <x:v>SBA</x:v>
      </x:c>
      <x:c r="D81" s="60" t="str">
        <x:v>方法</x:v>
      </x:c>
      <x:c r="E81" s="60" t="str">
        <x:v>方法指南</x:v>
      </x:c>
      <x:c r="F81" s="60" t="str">
        <x:v>需求、规模、定价与替代。</x:v>
      </x:c>
      <x:c r="G81" s="60" t="str">
        <x:v>方法参考，非中国行业数据。</x:v>
      </x:c>
      <x:c r="H81" s="60" t="str">
        <x:v>公开正文或搜索索引已核实</x:v>
      </x:c>
      <x:c r="I81" s="60" t="str">
        <x:v>2026-10-21</x:v>
      </x:c>
      <x:c r="J81" s="60" t="str">
        <x:v>https://legacy.sba.gov/es/guia-de-negocios/planifique-su-empresa/investigacion-de-mercado-y-analisis-competitivo</x:v>
      </x:c>
    </x:row>
    <x:row r="82" ht="64" customHeight="1">
      <x:c r="A82" s="60" t="str">
        <x:v>S78</x:v>
      </x:c>
      <x:c r="B82" s="60" t="str">
        <x:v>二手数据研究讨论文件</x:v>
      </x:c>
      <x:c r="C82" s="60" t="str">
        <x:v>ESOMAR GRBN</x:v>
      </x:c>
      <x:c r="D82" s="60" t="str">
        <x:v>2018</x:v>
      </x:c>
      <x:c r="E82" s="60" t="str">
        <x:v>方法指南</x:v>
      </x:c>
      <x:c r="F82" s="60" t="str">
        <x:v>来源机制、方法透明、数据质量。</x:v>
      </x:c>
      <x:c r="G82" s="60" t="str">
        <x:v>讨论文件，不作为中国监管标准。</x:v>
      </x:c>
      <x:c r="H82" s="60" t="str">
        <x:v>公开正文或搜索索引已核实</x:v>
      </x:c>
      <x:c r="I82" s="60" t="str">
        <x:v>2026-10-21</x:v>
      </x:c>
      <x:c r="J82" s="60" t="str">
        <x:v>https://shop.esomar.org/uploads/public/knowledge-and-standards/codes-and-guidelines/ESOMAR-GRBN_discussion-paper_Use-of-Secondary-Data_20180225.pdf</x:v>
      </x:c>
    </x:row>
    <x:row r="83" ht="36" customHeight="1">
      <x:c r="A83" s="60" t="str">
        <x:v>X01</x:v>
      </x:c>
      <x:c r="B83" s="60" t="str">
        <x:v>京城俱乐部小红书搜索观察</x:v>
      </x:c>
      <x:c r="C83" s="60" t="str">
        <x:v>小红书公开搜索</x:v>
      </x:c>
      <x:c r="D83" s="60" t="str">
        <x:v>采集2026-10-21</x:v>
      </x:c>
      <x:c r="E83" s="60" t="str">
        <x:v>平台搜索观察</x:v>
      </x:c>
      <x:c r="F83" s="60" t="str">
        <x:v>有餐饮场景、着装和摄影线索，亦有同名误配。</x:v>
      </x:c>
      <x:c r="G83" s="60" t="str">
        <x:v>搜索排序不代表全量，除个别记录外未逐篇阅读全文。</x:v>
      </x:c>
      <x:c r="H83" s="60" t="str">
        <x:v>公开正文或搜索索引已核实</x:v>
      </x:c>
      <x:c r="I83" s="60" t="str">
        <x:v>2026-10-21</x:v>
      </x:c>
      <x:c r="J83" s="60" t="str">
        <x:v>https://www.xiaohongshu.com/search_result_ai?keyword=京城俱乐部</x:v>
      </x:c>
    </x:row>
    <x:row r="84" ht="36" customHeight="1">
      <x:c r="A84" s="60" t="str">
        <x:v>X02</x:v>
      </x:c>
      <x:c r="B84" s="60" t="str">
        <x:v>伟事达小红书搜索观察</x:v>
      </x:c>
      <x:c r="C84" s="60" t="str">
        <x:v>小红书公开搜索</x:v>
      </x:c>
      <x:c r="D84" s="60" t="str">
        <x:v>采集2026-10-21</x:v>
      </x:c>
      <x:c r="E84" s="60" t="str">
        <x:v>平台搜索观察</x:v>
      </x:c>
      <x:c r="F84" s="60" t="str">
        <x:v>教练、学习体验、峰会等内容。</x:v>
      </x:c>
      <x:c r="G84" s="60" t="str">
        <x:v>含历史及相似名字，不能作为全量近期活跃。</x:v>
      </x:c>
      <x:c r="H84" s="60" t="str">
        <x:v>公开正文或搜索索引已核实</x:v>
      </x:c>
      <x:c r="I84" s="60" t="str">
        <x:v>2026-10-21</x:v>
      </x:c>
      <x:c r="J84" s="60" t="str">
        <x:v>https://www.xiaohongshu.com/search_result_ai?keyword=伟事达</x:v>
      </x:c>
    </x:row>
    <x:row r="85" ht="36" customHeight="1">
      <x:c r="A85" s="60" t="str">
        <x:v>X03</x:v>
      </x:c>
      <x:c r="B85" s="60" t="str">
        <x:v>耀悦高端旅行账号公开页</x:v>
      </x:c>
      <x:c r="C85" s="60" t="str">
        <x:v>小红书账号自述</x:v>
      </x:c>
      <x:c r="D85" s="60" t="str">
        <x:v>采集2026-10-21</x:v>
      </x:c>
      <x:c r="E85" s="60" t="str">
        <x:v>平台账号快照</x:v>
      </x:c>
      <x:c r="F85" s="60" t="str">
        <x:v>9507粉丝；4.3万获赞与收藏；账号称中青旅旗下品牌。</x:v>
      </x:c>
      <x:c r="G85" s="60" t="str">
        <x:v>单一账号，非会员或客户；品牌认证主体未额外取得。</x:v>
      </x:c>
      <x:c r="H85" s="60" t="str">
        <x:v>公开正文或搜索索引已核实</x:v>
      </x:c>
      <x:c r="I85" s="60" t="str">
        <x:v>2026-10-21</x:v>
      </x:c>
      <x:c r="J85" s="60" t="str">
        <x:v>https://www.xiaohongshu.com/user/profile/63b3a40d0000000026005569</x:v>
      </x:c>
    </x:row>
    <x:row r="86" ht="36" customHeight="1">
      <x:c r="A86" s="60" t="str">
        <x:v>X03-01</x:v>
      </x:c>
      <x:c r="B86" s="60" t="str">
        <x:v>春节出发，住顶奢营地，乘小飞机闯入非洲</x:v>
      </x:c>
      <x:c r="C86" s="60" t="str">
        <x:v>耀悦高端旅行账号</x:v>
      </x:c>
      <x:c r="D86" s="60" t="str">
        <x:v>1天前 北京</x:v>
      </x:c>
      <x:c r="E86" s="60" t="str">
        <x:v>品牌内容自述</x:v>
      </x:c>
      <x:c r="F86" s="60" t="str">
        <x:v>目的地与资源；正文已逐篇读取。</x:v>
      </x:c>
      <x:c r="G86" s="60" t="str">
        <x:v>内容与报价为自述，不等于成交；无完整费用清单及订单数据。</x:v>
      </x:c>
      <x:c r="H86" s="60" t="str">
        <x:v>浏览器逐篇正文可读，留存内部AX文本</x:v>
      </x:c>
      <x:c r="I86" s="60" t="str">
        <x:v>2026-10-21</x:v>
      </x:c>
      <x:c r="J86" s="60" t="str">
        <x:v>https://www.xiaohongshu.com/user/profile/63b3a40d0000000026005569/6ad5c73b00000000310059b8</x:v>
      </x:c>
    </x:row>
    <x:row r="87" ht="36" customHeight="1">
      <x:c r="A87" s="60" t="str">
        <x:v>X03-02</x:v>
      </x:c>
      <x:c r="B87" s="60" t="str">
        <x:v>神奇秘境，在南澳州遇见海鲜牧场+浪漫粉湖</x:v>
      </x:c>
      <x:c r="C87" s="60" t="str">
        <x:v>耀悦高端旅行账号</x:v>
      </x:c>
      <x:c r="D87" s="60" t="str">
        <x:v>10-10 北京</x:v>
      </x:c>
      <x:c r="E87" s="60" t="str">
        <x:v>品牌内容自述</x:v>
      </x:c>
      <x:c r="F87" s="60" t="str">
        <x:v>目的地与资源；正文已逐篇读取。</x:v>
      </x:c>
      <x:c r="G87" s="60" t="str">
        <x:v>内容与报价为自述，不等于成交；无完整费用清单及订单数据。</x:v>
      </x:c>
      <x:c r="H87" s="60" t="str">
        <x:v>浏览器逐篇正文可读，留存内部AX文本</x:v>
      </x:c>
      <x:c r="I87" s="60" t="str">
        <x:v>2026-10-21</x:v>
      </x:c>
      <x:c r="J87" s="60" t="str">
        <x:v>https://www.xiaohongshu.com/user/profile/63b3a40d0000000026005569/6ac9b55b0000000002013a8f</x:v>
      </x:c>
    </x:row>
    <x:row r="88" ht="36" customHeight="1">
      <x:c r="A88" s="60" t="str">
        <x:v>X03-03</x:v>
      </x:c>
      <x:c r="B88" s="60" t="str">
        <x:v>一生必去的南极，如何选船？ 5条路线攻略</x:v>
      </x:c>
      <x:c r="C88" s="60" t="str">
        <x:v>耀悦高端旅行账号</x:v>
      </x:c>
      <x:c r="D88" s="60" t="str">
        <x:v>10-09 北京</x:v>
      </x:c>
      <x:c r="E88" s="60" t="str">
        <x:v>品牌内容自述</x:v>
      </x:c>
      <x:c r="F88" s="60" t="str">
        <x:v>比较与选购指南；正文已逐篇读取。</x:v>
      </x:c>
      <x:c r="G88" s="60" t="str">
        <x:v>内容与报价为自述，不等于成交；无完整费用清单及订单数据。</x:v>
      </x:c>
      <x:c r="H88" s="60" t="str">
        <x:v>浏览器逐篇正文可读，留存内部AX文本</x:v>
      </x:c>
      <x:c r="I88" s="60" t="str">
        <x:v>2026-10-21</x:v>
      </x:c>
      <x:c r="J88" s="60" t="str">
        <x:v>https://www.xiaohongshu.com/user/profile/63b3a40d0000000026005569/6ac883c2000000001501151f</x:v>
      </x:c>
    </x:row>
    <x:row r="89" ht="36" customHeight="1">
      <x:c r="A89" s="60" t="str">
        <x:v>X03-04</x:v>
      </x:c>
      <x:c r="B89" s="60" t="str">
        <x:v>首条冰岛定期航线开通，追寻蓝冰与极光</x:v>
      </x:c>
      <x:c r="C89" s="60" t="str">
        <x:v>耀悦高端旅行账号</x:v>
      </x:c>
      <x:c r="D89" s="60" t="str">
        <x:v>09-22 北京</x:v>
      </x:c>
      <x:c r="E89" s="60" t="str">
        <x:v>品牌内容自述</x:v>
      </x:c>
      <x:c r="F89" s="60" t="str">
        <x:v>目的地与资源；正文已逐篇读取。</x:v>
      </x:c>
      <x:c r="G89" s="60" t="str">
        <x:v>内容与报价为自述，不等于成交；无完整费用清单及订单数据。</x:v>
      </x:c>
      <x:c r="H89" s="60" t="str">
        <x:v>浏览器逐篇正文可读，留存内部AX文本</x:v>
      </x:c>
      <x:c r="I89" s="60" t="str">
        <x:v>2026-10-21</x:v>
      </x:c>
      <x:c r="J89" s="60" t="str">
        <x:v>https://www.xiaohongshu.com/user/profile/63b3a40d0000000026005569/6ab240cb0000000033036746</x:v>
      </x:c>
    </x:row>
    <x:row r="90" ht="36" customHeight="1">
      <x:c r="A90" s="60" t="str">
        <x:v>X03-05</x:v>
      </x:c>
      <x:c r="B90" s="60" t="str">
        <x:v>走进秦岭科考，与一线守护者共赴国家公园</x:v>
      </x:c>
      <x:c r="C90" s="60" t="str">
        <x:v>耀悦高端旅行账号</x:v>
      </x:c>
      <x:c r="D90" s="60" t="str">
        <x:v>09-21 北京</x:v>
      </x:c>
      <x:c r="E90" s="60" t="str">
        <x:v>品牌内容自述</x:v>
      </x:c>
      <x:c r="F90" s="60" t="str">
        <x:v>自然与科考；正文已逐篇读取。</x:v>
      </x:c>
      <x:c r="G90" s="60" t="str">
        <x:v>内容与报价为自述，不等于成交；无完整费用清单及订单数据。</x:v>
      </x:c>
      <x:c r="H90" s="60" t="str">
        <x:v>浏览器逐篇正文可读，留存内部AX文本</x:v>
      </x:c>
      <x:c r="I90" s="60" t="str">
        <x:v>2026-10-21</x:v>
      </x:c>
      <x:c r="J90" s="60" t="str">
        <x:v>https://www.xiaohongshu.com/user/profile/63b3a40d0000000026005569/6ab0faaf0000000035019c29</x:v>
      </x:c>
    </x:row>
    <x:row r="91" ht="36" customHeight="1">
      <x:c r="A91" s="60" t="str">
        <x:v>X03-06</x:v>
      </x:c>
      <x:c r="B91" s="60" t="str">
        <x:v>秋日微醺，香港「美酒佳肴巡礼」专属礼遇</x:v>
      </x:c>
      <x:c r="C91" s="60" t="str">
        <x:v>耀悦高端旅行账号</x:v>
      </x:c>
      <x:c r="D91" s="60" t="str">
        <x:v>09-17</x:v>
      </x:c>
      <x:c r="E91" s="60" t="str">
        <x:v>品牌内容自述</x:v>
      </x:c>
      <x:c r="F91" s="60" t="str">
        <x:v>目的地与资源；正文已逐篇读取。</x:v>
      </x:c>
      <x:c r="G91" s="60" t="str">
        <x:v>内容与报价为自述，不等于成交；无完整费用清单及订单数据。</x:v>
      </x:c>
      <x:c r="H91" s="60" t="str">
        <x:v>浏览器逐篇正文可读，留存内部AX文本</x:v>
      </x:c>
      <x:c r="I91" s="60" t="str">
        <x:v>2026-10-21</x:v>
      </x:c>
      <x:c r="J91" s="60" t="str">
        <x:v>https://www.xiaohongshu.com/user/profile/63b3a40d0000000026005569/6aab8e2d0000000028029876</x:v>
      </x:c>
    </x:row>
    <x:row r="92" ht="36" customHeight="1">
      <x:c r="A92" s="60" t="str">
        <x:v>X03-07</x:v>
      </x:c>
      <x:c r="B92" s="60" t="str">
        <x:v>跟着一线巡护员去胖达保护区，探秘国家公园</x:v>
      </x:c>
      <x:c r="C92" s="60" t="str">
        <x:v>耀悦高端旅行账号</x:v>
      </x:c>
      <x:c r="D92" s="60" t="str">
        <x:v>09-16</x:v>
      </x:c>
      <x:c r="E92" s="60" t="str">
        <x:v>品牌内容自述</x:v>
      </x:c>
      <x:c r="F92" s="60" t="str">
        <x:v>自然与科考；正文已逐篇读取。</x:v>
      </x:c>
      <x:c r="G92" s="60" t="str">
        <x:v>内容与报价为自述，不等于成交；无完整费用清单及订单数据。</x:v>
      </x:c>
      <x:c r="H92" s="60" t="str">
        <x:v>浏览器逐篇正文可读，留存内部AX文本</x:v>
      </x:c>
      <x:c r="I92" s="60" t="str">
        <x:v>2026-10-21</x:v>
      </x:c>
      <x:c r="J92" s="60" t="str">
        <x:v>https://www.xiaohongshu.com/user/profile/63b3a40d0000000026005569/6aaa5e0f000000002603a810</x:v>
      </x:c>
    </x:row>
    <x:row r="93" ht="36" customHeight="1">
      <x:c r="A93" s="60" t="str">
        <x:v>X03-08</x:v>
      </x:c>
      <x:c r="B93" s="60" t="str">
        <x:v>丝路回响,探索中亚的极致风光与千年文明</x:v>
      </x:c>
      <x:c r="C93" s="60" t="str">
        <x:v>耀悦高端旅行账号</x:v>
      </x:c>
      <x:c r="D93" s="60" t="str">
        <x:v>09-15</x:v>
      </x:c>
      <x:c r="E93" s="60" t="str">
        <x:v>品牌内容自述</x:v>
      </x:c>
      <x:c r="F93" s="60" t="str">
        <x:v>目的地与资源；正文已逐篇读取。</x:v>
      </x:c>
      <x:c r="G93" s="60" t="str">
        <x:v>内容与报价为自述，不等于成交；无完整费用清单及订单数据。</x:v>
      </x:c>
      <x:c r="H93" s="60" t="str">
        <x:v>浏览器逐篇正文可读，留存内部AX文本</x:v>
      </x:c>
      <x:c r="I93" s="60" t="str">
        <x:v>2026-10-21</x:v>
      </x:c>
      <x:c r="J93" s="60" t="str">
        <x:v>https://www.xiaohongshu.com/user/profile/63b3a40d0000000026005569/6aa8edf6000000000b00d5ad</x:v>
      </x:c>
    </x:row>
    <x:row r="94" ht="36" customHeight="1">
      <x:c r="A94" s="60" t="str">
        <x:v>X03-09</x:v>
      </x:c>
      <x:c r="B94" s="60" t="str">
        <x:v>在南澳州，住进堪比非洲草原的野奢营地</x:v>
      </x:c>
      <x:c r="C94" s="60" t="str">
        <x:v>耀悦高端旅行账号</x:v>
      </x:c>
      <x:c r="D94" s="60" t="str">
        <x:v>09-11</x:v>
      </x:c>
      <x:c r="E94" s="60" t="str">
        <x:v>品牌内容自述</x:v>
      </x:c>
      <x:c r="F94" s="60" t="str">
        <x:v>目的地与资源；正文已逐篇读取。</x:v>
      </x:c>
      <x:c r="G94" s="60" t="str">
        <x:v>内容与报价为自述，不等于成交；无完整费用清单及订单数据。</x:v>
      </x:c>
      <x:c r="H94" s="60" t="str">
        <x:v>浏览器逐篇正文可读，留存内部AX文本</x:v>
      </x:c>
      <x:c r="I94" s="60" t="str">
        <x:v>2026-10-21</x:v>
      </x:c>
      <x:c r="J94" s="60" t="str">
        <x:v>https://www.xiaohongshu.com/user/profile/63b3a40d0000000026005569/6aa27a8e000000002601ac42</x:v>
      </x:c>
    </x:row>
    <x:row r="95" ht="36" customHeight="1">
      <x:c r="A95" s="60" t="str">
        <x:v>X03-10</x:v>
      </x:c>
      <x:c r="B95" s="60" t="str">
        <x:v>买2送1，畅游大溪地，奢华邮轮+机票！</x:v>
      </x:c>
      <x:c r="C95" s="60" t="str">
        <x:v>耀悦高端旅行账号</x:v>
      </x:c>
      <x:c r="D95" s="60" t="str">
        <x:v>编辑于 09-11</x:v>
      </x:c>
      <x:c r="E95" s="60" t="str">
        <x:v>品牌内容自述</x:v>
      </x:c>
      <x:c r="F95" s="60" t="str">
        <x:v>优惠或稀缺资源；正文已逐篇读取。</x:v>
      </x:c>
      <x:c r="G95" s="60" t="str">
        <x:v>内容与报价为自述，不等于成交；无完整费用清单及订单数据。</x:v>
      </x:c>
      <x:c r="H95" s="60" t="str">
        <x:v>浏览器逐篇正文可读，留存内部AX文本</x:v>
      </x:c>
      <x:c r="I95" s="60" t="str">
        <x:v>2026-10-21</x:v>
      </x:c>
      <x:c r="J95" s="60" t="str">
        <x:v>https://www.xiaohongshu.com/user/profile/63b3a40d0000000026005569/6a9fb3c2000000002b02427d</x:v>
      </x:c>
    </x:row>
    <x:row r="96" ht="36" customHeight="1">
      <x:c r="A96" s="60" t="str">
        <x:v>X03-11</x:v>
      </x:c>
      <x:c r="B96" s="60" t="str">
        <x:v>黄河三角洲科考,走进世界级候鸟迁徙保护区</x:v>
      </x:c>
      <x:c r="C96" s="60" t="str">
        <x:v>耀悦高端旅行账号</x:v>
      </x:c>
      <x:c r="D96" s="60" t="str">
        <x:v>09-04</x:v>
      </x:c>
      <x:c r="E96" s="60" t="str">
        <x:v>品牌内容自述</x:v>
      </x:c>
      <x:c r="F96" s="60" t="str">
        <x:v>自然与科考；正文已逐篇读取。</x:v>
      </x:c>
      <x:c r="G96" s="60" t="str">
        <x:v>内容与报价为自述，不等于成交；无完整费用清单及订单数据。</x:v>
      </x:c>
      <x:c r="H96" s="60" t="str">
        <x:v>浏览器逐篇正文可读，留存内部AX文本</x:v>
      </x:c>
      <x:c r="I96" s="60" t="str">
        <x:v>2026-10-21</x:v>
      </x:c>
      <x:c r="J96" s="60" t="str">
        <x:v>https://www.xiaohongshu.com/user/profile/63b3a40d0000000026005569/6a9a3b94000000002b0245b1</x:v>
      </x:c>
    </x:row>
    <x:row r="97" ht="36" customHeight="1">
      <x:c r="A97" s="60" t="str">
        <x:v>X03-12</x:v>
      </x:c>
      <x:c r="B97" s="60" t="str">
        <x:v>从雨林到火山到，探索加勒比的小众目的地</x:v>
      </x:c>
      <x:c r="C97" s="60" t="str">
        <x:v>耀悦高端旅行账号</x:v>
      </x:c>
      <x:c r="D97" s="60" t="str">
        <x:v>09-01</x:v>
      </x:c>
      <x:c r="E97" s="60" t="str">
        <x:v>品牌内容自述</x:v>
      </x:c>
      <x:c r="F97" s="60" t="str">
        <x:v>目的地与资源；正文已逐篇读取。</x:v>
      </x:c>
      <x:c r="G97" s="60" t="str">
        <x:v>内容与报价为自述，不等于成交；无完整费用清单及订单数据。</x:v>
      </x:c>
      <x:c r="H97" s="60" t="str">
        <x:v>浏览器逐篇正文可读，留存内部AX文本</x:v>
      </x:c>
      <x:c r="I97" s="60" t="str">
        <x:v>2026-10-21</x:v>
      </x:c>
      <x:c r="J97" s="60" t="str">
        <x:v>https://www.xiaohongshu.com/user/profile/63b3a40d0000000026005569/6a963a6a000000002601d781</x:v>
      </x:c>
    </x:row>
    <x:row r="98" ht="36" customHeight="1">
      <x:c r="A98" s="60" t="str">
        <x:v>X03-13</x:v>
      </x:c>
      <x:c r="B98" s="60" t="str">
        <x:v>这7条秋季路线，藏着华夏大地顶配级风景</x:v>
      </x:c>
      <x:c r="C98" s="60" t="str">
        <x:v>耀悦高端旅行账号</x:v>
      </x:c>
      <x:c r="D98" s="60" t="str">
        <x:v>08-26</x:v>
      </x:c>
      <x:c r="E98" s="60" t="str">
        <x:v>品牌内容自述</x:v>
      </x:c>
      <x:c r="F98" s="60" t="str">
        <x:v>目的地与资源；正文已逐篇读取。</x:v>
      </x:c>
      <x:c r="G98" s="60" t="str">
        <x:v>内容与报价为自述，不等于成交；无完整费用清单及订单数据。</x:v>
      </x:c>
      <x:c r="H98" s="60" t="str">
        <x:v>浏览器逐篇正文可读，留存内部AX文本</x:v>
      </x:c>
      <x:c r="I98" s="60" t="str">
        <x:v>2026-10-21</x:v>
      </x:c>
      <x:c r="J98" s="60" t="str">
        <x:v>https://www.xiaohongshu.com/user/profile/63b3a40d0000000026005569/6a8e9d33000000002502623a</x:v>
      </x:c>
    </x:row>
    <x:row r="99" ht="36" customHeight="1">
      <x:c r="A99" s="60" t="str">
        <x:v>X03-14</x:v>
      </x:c>
      <x:c r="B99" s="60" t="str">
        <x:v>请3天休13天！这个悠长假期交给奢华邮轮</x:v>
      </x:c>
      <x:c r="C99" s="60" t="str">
        <x:v>耀悦高端旅行账号</x:v>
      </x:c>
      <x:c r="D99" s="60" t="str">
        <x:v>08-24</x:v>
      </x:c>
      <x:c r="E99" s="60" t="str">
        <x:v>品牌内容自述</x:v>
      </x:c>
      <x:c r="F99" s="60" t="str">
        <x:v>假期安排；正文已逐篇读取。</x:v>
      </x:c>
      <x:c r="G99" s="60" t="str">
        <x:v>内容与报价为自述，不等于成交；无完整费用清单及订单数据。</x:v>
      </x:c>
      <x:c r="H99" s="60" t="str">
        <x:v>浏览器逐篇正文可读，留存内部AX文本</x:v>
      </x:c>
      <x:c r="I99" s="60" t="str">
        <x:v>2026-10-21</x:v>
      </x:c>
      <x:c r="J99" s="60" t="str">
        <x:v>https://www.xiaohongshu.com/user/profile/63b3a40d0000000026005569/6a8be13d000000002a02e378</x:v>
      </x:c>
    </x:row>
    <x:row r="100" ht="36" customHeight="1">
      <x:c r="A100" s="60" t="str">
        <x:v>X03-15</x:v>
      </x:c>
      <x:c r="B100" s="60" t="str">
        <x:v>连休13天！奔赴南半球，与春天来场约会！</x:v>
      </x:c>
      <x:c r="C100" s="60" t="str">
        <x:v>耀悦高端旅行账号</x:v>
      </x:c>
      <x:c r="D100" s="60" t="str">
        <x:v>08-21</x:v>
      </x:c>
      <x:c r="E100" s="60" t="str">
        <x:v>品牌内容自述</x:v>
      </x:c>
      <x:c r="F100" s="60" t="str">
        <x:v>假期安排；正文已逐篇读取。</x:v>
      </x:c>
      <x:c r="G100" s="60" t="str">
        <x:v>内容与报价为自述，不等于成交；无完整费用清单及订单数据。</x:v>
      </x:c>
      <x:c r="H100" s="60" t="str">
        <x:v>浏览器逐篇正文可读，留存内部AX文本</x:v>
      </x:c>
      <x:c r="I100" s="60" t="str">
        <x:v>2026-10-21</x:v>
      </x:c>
      <x:c r="J100" s="60" t="str">
        <x:v>https://www.xiaohongshu.com/user/profile/63b3a40d0000000026005569/6a880ebe00000000310142c0</x:v>
      </x:c>
    </x:row>
    <x:row r="101" ht="36" customHeight="1">
      <x:c r="A101" s="60" t="str">
        <x:v>X03-16</x:v>
      </x:c>
      <x:c r="B101" s="60" t="str">
        <x:v>南澳大利亚，解锁澳洲的另一种打开方式</x:v>
      </x:c>
      <x:c r="C101" s="60" t="str">
        <x:v>耀悦高端旅行账号</x:v>
      </x:c>
      <x:c r="D101" s="60" t="str">
        <x:v>08-21</x:v>
      </x:c>
      <x:c r="E101" s="60" t="str">
        <x:v>品牌内容自述</x:v>
      </x:c>
      <x:c r="F101" s="60" t="str">
        <x:v>目的地与资源；正文已逐篇读取。</x:v>
      </x:c>
      <x:c r="G101" s="60" t="str">
        <x:v>内容与报价为自述，不等于成交；无完整费用清单及订单数据。</x:v>
      </x:c>
      <x:c r="H101" s="60" t="str">
        <x:v>浏览器逐篇正文可读，留存内部AX文本</x:v>
      </x:c>
      <x:c r="I101" s="60" t="str">
        <x:v>2026-10-21</x:v>
      </x:c>
      <x:c r="J101" s="60" t="str">
        <x:v>https://www.xiaohongshu.com/user/profile/63b3a40d0000000026005569/6a87c9450000000035023f78</x:v>
      </x:c>
    </x:row>
    <x:row r="102" ht="36" customHeight="1">
      <x:c r="A102" s="60" t="str">
        <x:v>X03-17</x:v>
      </x:c>
      <x:c r="B102" s="60" t="str">
        <x:v>6折早鸟特惠，全新长江探索号2027航线</x:v>
      </x:c>
      <x:c r="C102" s="60" t="str">
        <x:v>耀悦高端旅行账号</x:v>
      </x:c>
      <x:c r="D102" s="60" t="str">
        <x:v>08-19</x:v>
      </x:c>
      <x:c r="E102" s="60" t="str">
        <x:v>品牌内容自述</x:v>
      </x:c>
      <x:c r="F102" s="60" t="str">
        <x:v>优惠或稀缺资源；正文已逐篇读取。</x:v>
      </x:c>
      <x:c r="G102" s="60" t="str">
        <x:v>内容与报价为自述，不等于成交；无完整费用清单及订单数据。</x:v>
      </x:c>
      <x:c r="H102" s="60" t="str">
        <x:v>浏览器逐篇正文可读，留存内部AX文本</x:v>
      </x:c>
      <x:c r="I102" s="60" t="str">
        <x:v>2026-10-21</x:v>
      </x:c>
      <x:c r="J102" s="60" t="str">
        <x:v>https://www.xiaohongshu.com/user/profile/63b3a40d0000000026005569/6a852322000000002500950a</x:v>
      </x:c>
    </x:row>
    <x:row r="103" ht="36" customHeight="1">
      <x:c r="A103" s="60" t="str">
        <x:v>X03-18</x:v>
      </x:c>
      <x:c r="B103" s="60" t="str">
        <x:v>请3天休13天！北半球6条神仙旅行路线</x:v>
      </x:c>
      <x:c r="C103" s="60" t="str">
        <x:v>耀悦高端旅行账号</x:v>
      </x:c>
      <x:c r="D103" s="60" t="str">
        <x:v>08-14</x:v>
      </x:c>
      <x:c r="E103" s="60" t="str">
        <x:v>品牌内容自述</x:v>
      </x:c>
      <x:c r="F103" s="60" t="str">
        <x:v>假期安排；正文已逐篇读取。</x:v>
      </x:c>
      <x:c r="G103" s="60" t="str">
        <x:v>内容与报价为自述，不等于成交；无完整费用清单及订单数据。</x:v>
      </x:c>
      <x:c r="H103" s="60" t="str">
        <x:v>浏览器逐篇正文可读，留存内部AX文本</x:v>
      </x:c>
      <x:c r="I103" s="60" t="str">
        <x:v>2026-10-21</x:v>
      </x:c>
      <x:c r="J103" s="60" t="str">
        <x:v>https://www.xiaohongshu.com/user/profile/63b3a40d0000000026005569/6a7eb8d60000000033034680</x:v>
      </x:c>
    </x:row>
    <x:row r="104" ht="36" customHeight="1">
      <x:c r="A104" s="60" t="str">
        <x:v>X03-19</x:v>
      </x:c>
      <x:c r="B104" s="60" t="str">
        <x:v>立减3000，踏上豪华专列，畅游滇西秘境</x:v>
      </x:c>
      <x:c r="C104" s="60" t="str">
        <x:v>耀悦高端旅行账号</x:v>
      </x:c>
      <x:c r="D104" s="60" t="str">
        <x:v>编辑于 09-01</x:v>
      </x:c>
      <x:c r="E104" s="60" t="str">
        <x:v>品牌内容自述</x:v>
      </x:c>
      <x:c r="F104" s="60" t="str">
        <x:v>优惠或稀缺资源；正文已逐篇读取。</x:v>
      </x:c>
      <x:c r="G104" s="60" t="str">
        <x:v>内容与报价为自述，不等于成交；无完整费用清单及订单数据。</x:v>
      </x:c>
      <x:c r="H104" s="60" t="str">
        <x:v>浏览器逐篇正文可读，留存内部AX文本</x:v>
      </x:c>
      <x:c r="I104" s="60" t="str">
        <x:v>2026-10-21</x:v>
      </x:c>
      <x:c r="J104" s="60" t="str">
        <x:v>https://www.xiaohongshu.com/user/profile/63b3a40d0000000026005569/6a7c3e4c000000002500e101</x:v>
      </x:c>
    </x:row>
    <x:row r="105" ht="36" customHeight="1">
      <x:c r="A105" s="60" t="str">
        <x:v>X03-20</x:v>
      </x:c>
      <x:c r="B105" s="60" t="str">
        <x:v>仅4间房得Belmond豪华河轮，畅游左岸美景</x:v>
      </x:c>
      <x:c r="C105" s="60" t="str">
        <x:v>耀悦高端旅行账号</x:v>
      </x:c>
      <x:c r="D105" s="60" t="str">
        <x:v>编辑于 08-07</x:v>
      </x:c>
      <x:c r="E105" s="60" t="str">
        <x:v>品牌内容自述</x:v>
      </x:c>
      <x:c r="F105" s="60" t="str">
        <x:v>优惠或稀缺资源；正文已逐篇读取。</x:v>
      </x:c>
      <x:c r="G105" s="60" t="str">
        <x:v>内容与报价为自述，不等于成交；无完整费用清单及订单数据。</x:v>
      </x:c>
      <x:c r="H105" s="60" t="str">
        <x:v>浏览器逐篇正文可读，留存内部AX文本</x:v>
      </x:c>
      <x:c r="I105" s="60" t="str">
        <x:v>2026-10-21</x:v>
      </x:c>
      <x:c r="J105" s="60" t="str">
        <x:v>https://www.xiaohongshu.com/user/profile/63b3a40d0000000026005569/6a7585f8000000003300d9ea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48e340a0d664de9"/>
  </x:tableParts>
</x:worksheet>
</file>

<file path=xl/worksheets/sheet15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50" hidden="0" customWidth="1"/>
    <x:col min="4" max="4" width="50" hidden="0" customWidth="1"/>
    <x:col min="5" max="5" width="50" hidden="0" customWidth="1"/>
    <x:col min="6" max="6" width="50" hidden="0" customWidth="1"/>
    <x:col min="7" max="7" width="27" hidden="0" customWidth="1"/>
  </x:cols>
  <x:sheetData>
    <x:row r="1" ht="30" customHeight="1">
      <x:c r="A1" s="53" t="str">
        <x:v>证据缺口</x:v>
      </x:c>
      <x:c r="B1" s="53"/>
      <x:c r="C1" s="53"/>
      <x:c r="D1" s="53"/>
      <x:c r="E1" s="53"/>
      <x:c r="F1" s="53"/>
      <x:c r="G1" s="53"/>
    </x:row>
    <x:row r="2" ht="32" customHeight="1">
      <x:c r="A2" s="54" t="str">
        <x:v>采集截止 2026-10-21　|　后续验证清单；本轮不外联、不购买、不填写咨询表单</x:v>
      </x:c>
      <x:c r="B2" s="54"/>
      <x:c r="C2" s="54"/>
      <x:c r="D2" s="54"/>
      <x:c r="E2" s="54"/>
      <x:c r="F2" s="54"/>
      <x:c r="G2" s="54"/>
    </x:row>
    <x:row r="3" ht="8" customHeight="1">
      <x:c r="A3" s="50"/>
      <x:c r="B3" s="50"/>
      <x:c r="C3" s="50"/>
      <x:c r="D3" s="50"/>
      <x:c r="E3" s="50"/>
      <x:c r="F3" s="50"/>
      <x:c r="G3" s="50"/>
    </x:row>
    <x:row r="4" ht="30" customHeight="1">
      <x:c r="A4" s="59" t="str">
        <x:v>缺口ID</x:v>
      </x:c>
      <x:c r="B4" s="59" t="str">
        <x:v>模块</x:v>
      </x:c>
      <x:c r="C4" s="59" t="str">
        <x:v>待解问题</x:v>
      </x:c>
      <x:c r="D4" s="59" t="str">
        <x:v>当前不足</x:v>
      </x:c>
      <x:c r="E4" s="59" t="str">
        <x:v>下一步具体证据</x:v>
      </x:c>
      <x:c r="F4" s="59" t="str">
        <x:v>决策影响</x:v>
      </x:c>
      <x:c r="G4" s="59" t="str">
        <x:v>动作状态</x:v>
      </x:c>
    </x:row>
    <x:row r="5" ht="36" customHeight="1">
      <x:c r="A5" s="60" t="str">
        <x:v>G01</x:v>
      </x:c>
      <x:c r="B5" s="60" t="str">
        <x:v>需求</x:v>
      </x:c>
      <x:c r="C5" s="60" t="str">
        <x:v>高端圈层社交是否有独立支付意愿</x:v>
      </x:c>
      <x:c r="D5" s="60" t="str">
        <x:v>现有研究多为大众社交或旅行支出，缺明确社交会费交易</x:v>
      </x:c>
      <x:c r="E5" s="60" t="str">
        <x:v>目标客户真实购买及退款记录访谈</x:v>
      </x:c>
      <x:c r="F5" s="60" t="str">
        <x:v>选择会员制前必须验证</x:v>
      </x:c>
      <x:c r="G5" s="60" t="str">
        <x:v>暂不外联</x:v>
      </x:c>
    </x:row>
    <x:row r="6" ht="28" customHeight="1">
      <x:c r="A6" s="60" t="str">
        <x:v>G02</x:v>
      </x:c>
      <x:c r="B6" s="60" t="str">
        <x:v>价格</x:v>
      </x:c>
      <x:c r="C6" s="60" t="str">
        <x:v>京城俱乐部现行总费用</x:v>
      </x:c>
      <x:c r="D6" s="60" t="str">
        <x:v>官网没有费用和有效期</x:v>
      </x:c>
      <x:c r="E6" s="60" t="str">
        <x:v>会籍书面报价与权益合同</x:v>
      </x:c>
      <x:c r="F6" s="60" t="str">
        <x:v>不能用历史15万等数字定价</x:v>
      </x:c>
      <x:c r="G6" s="60" t="str">
        <x:v>待后续授权联系</x:v>
      </x:c>
    </x:row>
    <x:row r="7" ht="28" customHeight="1">
      <x:c r="A7" s="60" t="str">
        <x:v>G03</x:v>
      </x:c>
      <x:c r="B7" s="60" t="str">
        <x:v>价格</x:v>
      </x:c>
      <x:c r="C7" s="60" t="str">
        <x:v>伟事达价格合同一致性</x:v>
      </x:c>
      <x:c r="D7" s="60" t="str">
        <x:v>品牌索引页2026标价，直接正文超时</x:v>
      </x:c>
      <x:c r="E7" s="60" t="str">
        <x:v>官方书面合同或报价</x:v>
      </x:c>
      <x:c r="F7" s="60" t="str">
        <x:v>初步产品锚，非成交价</x:v>
      </x:c>
      <x:c r="G7" s="60" t="str">
        <x:v>待核</x:v>
      </x:c>
    </x:row>
    <x:row r="8" ht="28" customHeight="1">
      <x:c r="A8" s="60" t="str">
        <x:v>G04</x:v>
      </x:c>
      <x:c r="B8" s="60" t="str">
        <x:v>价格</x:v>
      </x:c>
      <x:c r="C8" s="60" t="str">
        <x:v>耀悦团期及费用包含</x:v>
      </x:c>
      <x:c r="D8" s="60" t="str">
        <x:v>动态页面与索引差异</x:v>
      </x:c>
      <x:c r="E8" s="60" t="str">
        <x:v>具体团期报价与费用清单</x:v>
      </x:c>
      <x:c r="F8" s="60" t="str">
        <x:v>起价不得作总成本</x:v>
      </x:c>
      <x:c r="G8" s="60" t="str">
        <x:v>待核</x:v>
      </x:c>
    </x:row>
    <x:row r="9" ht="28" customHeight="1">
      <x:c r="A9" s="60" t="str">
        <x:v>G05</x:v>
      </x:c>
      <x:c r="B9" s="60" t="str">
        <x:v>获客</x:v>
      </x:c>
      <x:c r="C9" s="60" t="str">
        <x:v>三家CAC和成交率</x:v>
      </x:c>
      <x:c r="D9" s="60" t="str">
        <x:v>无投放和有效线索成交分母</x:v>
      </x:c>
      <x:c r="E9" s="60" t="str">
        <x:v>渠道花费与CRM台账</x:v>
      </x:c>
      <x:c r="F9" s="60" t="str">
        <x:v>不设虚构行业CAC目标</x:v>
      </x:c>
      <x:c r="G9" s="60" t="str">
        <x:v>需一手经营数据</x:v>
      </x:c>
    </x:row>
    <x:row r="10" ht="28" customHeight="1">
      <x:c r="A10" s="60" t="str">
        <x:v>G06</x:v>
      </x:c>
      <x:c r="B10" s="60" t="str">
        <x:v>用户</x:v>
      </x:c>
      <x:c r="C10" s="60" t="str">
        <x:v>有效会员与续费</x:v>
      </x:c>
      <x:c r="D10" s="60" t="str">
        <x:v>公开人数含全球、累计、嘉宾或资源</x:v>
      </x:c>
      <x:c r="E10" s="60" t="str">
        <x:v>分城有效会员与到期批次</x:v>
      </x:c>
      <x:c r="F10" s="60" t="str">
        <x:v>不能进行规模排名</x:v>
      </x:c>
      <x:c r="G10" s="60" t="str">
        <x:v>需一手经营数据</x:v>
      </x:c>
    </x:row>
    <x:row r="11" ht="28" customHeight="1">
      <x:c r="A11" s="60" t="str">
        <x:v>G07</x:v>
      </x:c>
      <x:c r="B11" s="60" t="str">
        <x:v>活动</x:v>
      </x:c>
      <x:c r="C11" s="60" t="str">
        <x:v>六场完整流程</x:v>
      </x:c>
      <x:c r="D11" s="60" t="str">
        <x:v>只有部分环节，E02为合作会面，E05/06为产品</x:v>
      </x:c>
      <x:c r="E11" s="60" t="str">
        <x:v>主办议程 行前书 实际回顾</x:v>
      </x:c>
      <x:c r="F11" s="60" t="str">
        <x:v>未满足六场完整实证流程</x:v>
      </x:c>
      <x:c r="G11" s="60" t="str">
        <x:v>待体验或访谈</x:v>
      </x:c>
    </x:row>
    <x:row r="12" ht="28" customHeight="1">
      <x:c r="A12" s="60" t="str">
        <x:v>G08</x:v>
      </x:c>
      <x:c r="B12" s="60" t="str">
        <x:v>内容</x:v>
      </x:c>
      <x:c r="C12" s="60" t="str">
        <x:v>每家近90天20—30条有效样本</x:v>
      </x:c>
      <x:c r="D12" s="60" t="str">
        <x:v>搜索混入同名与相关词；未取得全部有效近期样本</x:v>
      </x:c>
      <x:c r="E12" s="60" t="str">
        <x:v>机构官方账号核验与按日期逐条采集</x:v>
      </x:c>
      <x:c r="F12" s="60" t="str">
        <x:v>不能估计内容转化与声量占比</x:v>
      </x:c>
      <x:c r="G12" s="60" t="str">
        <x:v>保留样本与排除原因</x:v>
      </x:c>
    </x:row>
    <x:row r="13" ht="28" customHeight="1">
      <x:c r="A13" s="60" t="str">
        <x:v>G09</x:v>
      </x:c>
      <x:c r="B13" s="60" t="str">
        <x:v>公司资源</x:v>
      </x:c>
      <x:c r="C13" s="60" t="str">
        <x:v>三城可动员客户及组织能力</x:v>
      </x:c>
      <x:c r="D13" s="60" t="str">
        <x:v>仅知已有客户圈，未提供城市分布和支付历史</x:v>
      </x:c>
      <x:c r="E13" s="60" t="str">
        <x:v>内部匿名汇总客户关系与活动记录</x:v>
      </x:c>
      <x:c r="F13" s="60" t="str">
        <x:v>城市选择暂按资源条件而非平均收入排序</x:v>
      </x:c>
      <x:c r="G13" s="60" t="str">
        <x:v>内部补充</x:v>
      </x:c>
    </x:row>
    <x:row r="14" ht="28" customHeight="1">
      <x:c r="A14" s="60" t="str">
        <x:v>G10</x:v>
      </x:c>
      <x:c r="B14" s="60" t="str">
        <x:v>组织身份</x:v>
      </x:c>
      <x:c r="C14" s="60" t="str">
        <x:v>EO地方年费和异常员工字段</x:v>
      </x:c>
      <x:c r="D14" s="60" t="str">
        <x:v>地方0及员工异常不能照用</x:v>
      </x:c>
      <x:c r="E14" s="60" t="str">
        <x:v>分会确认及最新章程</x:v>
      </x:c>
      <x:c r="F14" s="60" t="str">
        <x:v>仅全球费用作锚</x:v>
      </x:c>
      <x:c r="G14" s="60" t="str">
        <x:v>待核</x:v>
      </x:c>
    </x:row>
    <x:row r="15" ht="28" customHeight="1">
      <x:c r="A15" s="60" t="str">
        <x:v>G11</x:v>
      </x:c>
      <x:c r="B15" s="60" t="str">
        <x:v>监管</x:v>
      </x:c>
      <x:c r="C15" s="60" t="str">
        <x:v>旅行合作结构及责任</x:v>
      </x:c>
      <x:c r="D15" s="60" t="str">
        <x:v>经营主体和合同安排未确定</x:v>
      </x:c>
      <x:c r="E15" s="60" t="str">
        <x:v>按具体收款 签约 招徕 交付核查许可</x:v>
      </x:c>
      <x:c r="F15" s="60" t="str">
        <x:v>不能用合作方资质替代自身责任审视</x:v>
      </x:c>
      <x:c r="G15" s="60" t="str">
        <x:v>方案确定后核实</x:v>
      </x:c>
    </x:row>
    <x:row r="16" ht="28" customHeight="1">
      <x:c r="A16" s="60" t="str">
        <x:v>G12</x:v>
      </x:c>
      <x:c r="B16" s="60" t="str">
        <x:v>监管</x:v>
      </x:c>
      <x:c r="C16" s="60" t="str">
        <x:v>资产与婚姻核验的数据范围</x:v>
      </x:c>
      <x:c r="D16" s="60" t="str">
        <x:v>尚无最小必要字段与保存规则</x:v>
      </x:c>
      <x:c r="E16" s="60" t="str">
        <x:v>拟采集字段 用途 同意 保存访问机制</x:v>
      </x:c>
      <x:c r="F16" s="60" t="str">
        <x:v>不开展资产证明采集</x:v>
      </x:c>
      <x:c r="G16" s="60" t="str">
        <x:v>方案确定后核实</x:v>
      </x:c>
    </x:row>
    <x:row r="17" ht="28" customHeight="1">
      <x:c r="A17" s="60" t="str">
        <x:v>G13</x:v>
      </x:c>
      <x:c r="B17" s="60" t="str">
        <x:v>宏观</x:v>
      </x:c>
      <x:c r="C17" s="60" t="str">
        <x:v>高端综合社交独立市场规模</x:v>
      </x:c>
      <x:c r="D17" s="60" t="str">
        <x:v>没有统一收入统计与去重客户定义</x:v>
      </x:c>
      <x:c r="E17" s="60" t="str">
        <x:v>自下而上城市可达客户与价格验证</x:v>
      </x:c>
      <x:c r="F17" s="60" t="str">
        <x:v>不编造全国TAM</x:v>
      </x:c>
      <x:c r="G17" s="60" t="str">
        <x:v>公开数据边界</x:v>
      </x:c>
    </x:row>
    <x:row r="18" ht="28" customHeight="1">
      <x:c r="A18" s="60" t="str">
        <x:v>G14</x:v>
      </x:c>
      <x:c r="B18" s="60" t="str">
        <x:v>更新</x:v>
      </x:c>
      <x:c r="C18" s="60" t="str">
        <x:v>2023和2025婚姻登记原始公报</x:v>
      </x:c>
      <x:c r="D18" s="60" t="str">
        <x:v>2023定位原PDF未得，2025政务转引</x:v>
      </x:c>
      <x:c r="E18" s="60" t="str">
        <x:v>部委原始公报核对</x:v>
      </x:c>
      <x:c r="F18" s="60" t="str">
        <x:v>趋势图需保留转引标记</x:v>
      </x:c>
      <x:c r="G18" s="60" t="str">
        <x:v>可继续案头核实</x:v>
      </x:c>
    </x:row>
    <x:row r="19" ht="28" customHeight="1">
      <x:c r="A19" s="60" t="str">
        <x:v>G15</x:v>
      </x:c>
      <x:c r="B19" s="60" t="str">
        <x:v>价格</x:v>
      </x:c>
      <x:c r="C19" s="60" t="str">
        <x:v>非洲9天1.38万元异常</x:v>
      </x:c>
      <x:c r="D19" s="60" t="str">
        <x:v>品牌笔记价格与资源叙述需书面确认</x:v>
      </x:c>
      <x:c r="E19" s="60" t="str">
        <x:v>当前团期费用包含书面报价</x:v>
      </x:c>
      <x:c r="F19" s="60" t="str">
        <x:v>不作为低价锚，不擅自修改为13.8万</x:v>
      </x:c>
      <x:c r="G19" s="60" t="str">
        <x:v>待后续核实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4b87a715d6d4256"/>
  </x:tableParts>
</x:worksheet>
</file>

<file path=xl/worksheets/sheet16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5" hidden="0" customWidth="1"/>
    <x:col min="4" max="4" width="50" hidden="0" customWidth="1"/>
    <x:col min="5" max="5" width="35" hidden="0" customWidth="1"/>
    <x:col min="6" max="6" width="24" hidden="0" customWidth="1"/>
    <x:col min="7" max="7" width="50" hidden="0" customWidth="1"/>
  </x:cols>
  <x:sheetData>
    <x:row r="1" ht="30" customHeight="1">
      <x:c r="A1" s="53" t="str">
        <x:v>字段核验</x:v>
      </x:c>
      <x:c r="B1" s="53"/>
      <x:c r="C1" s="53"/>
      <x:c r="D1" s="53"/>
      <x:c r="E1" s="53"/>
      <x:c r="F1" s="53"/>
      <x:c r="G1" s="53"/>
    </x:row>
    <x:row r="2" ht="32" customHeight="1">
      <x:c r="A2" s="54" t="str">
        <x:v>采集截止 2026-10-21　|　三家各102字段 共306条；部分证据不是完整核实</x:v>
      </x:c>
      <x:c r="B2" s="54"/>
      <x:c r="C2" s="54"/>
      <x:c r="D2" s="54"/>
      <x:c r="E2" s="54"/>
      <x:c r="F2" s="54"/>
      <x:c r="G2" s="54"/>
    </x:row>
    <x:row r="3" ht="8" customHeight="1">
      <x:c r="A3" s="50"/>
      <x:c r="B3" s="50"/>
      <x:c r="C3" s="50"/>
      <x:c r="D3" s="50"/>
      <x:c r="E3" s="50"/>
      <x:c r="F3" s="50"/>
      <x:c r="G3" s="50"/>
    </x:row>
    <x:row r="4" ht="30" customHeight="1">
      <x:c r="A4" s="59" t="str">
        <x:v>案例</x:v>
      </x:c>
      <x:c r="B4" s="59" t="str">
        <x:v>模块</x:v>
      </x:c>
      <x:c r="C4" s="59" t="str">
        <x:v>字段</x:v>
      </x:c>
      <x:c r="D4" s="59" t="str">
        <x:v>已知值或未知</x:v>
      </x:c>
      <x:c r="E4" s="59" t="str">
        <x:v>源ID或检查来源</x:v>
      </x:c>
      <x:c r="F4" s="59" t="str">
        <x:v>核验状态</x:v>
      </x:c>
      <x:c r="G4" s="59" t="str">
        <x:v>查找范围及剩余证据</x:v>
      </x:c>
    </x:row>
    <x:row r="5" ht="36" customHeight="1">
      <x:c r="A5" s="60" t="str">
        <x:v>京城俱乐部</x:v>
      </x:c>
      <x:c r="B5" s="60" t="str">
        <x:v>价格</x:v>
      </x:c>
      <x:c r="C5" s="60" t="str">
        <x:v>入会费</x:v>
      </x:c>
      <x:c r="D5" s="60" t="str">
        <x:v>未公开核实</x:v>
      </x:c>
      <x:c r="E5" s="60" t="str">
        <x:v>S22</x:v>
      </x:c>
      <x:c r="F5" s="60" t="str">
        <x:v>未知</x:v>
      </x:c>
      <x:c r="G5" s="60" t="str">
        <x:v>已检查官网/公开产品/活动资料；具体缺口见证据缺口表</x:v>
      </x:c>
    </x:row>
    <x:row r="6" ht="36" customHeight="1">
      <x:c r="A6" s="60" t="str">
        <x:v>京城俱乐部</x:v>
      </x:c>
      <x:c r="B6" s="60" t="str">
        <x:v>价格</x:v>
      </x:c>
      <x:c r="C6" s="60" t="str">
        <x:v>审核费</x:v>
      </x:c>
      <x:c r="D6" s="60" t="str">
        <x:v>未公开核实</x:v>
      </x:c>
      <x:c r="E6" s="60" t="str">
        <x:v>S22</x:v>
      </x:c>
      <x:c r="F6" s="60" t="str">
        <x:v>未知</x:v>
      </x:c>
      <x:c r="G6" s="60" t="str">
        <x:v>已检查官网/公开产品/活动资料；具体缺口见证据缺口表</x:v>
      </x:c>
    </x:row>
    <x:row r="7" ht="36" customHeight="1">
      <x:c r="A7" s="60" t="str">
        <x:v>京城俱乐部</x:v>
      </x:c>
      <x:c r="B7" s="60" t="str">
        <x:v>价格</x:v>
      </x:c>
      <x:c r="C7" s="60" t="str">
        <x:v>年费</x:v>
      </x:c>
      <x:c r="D7" s="60" t="str">
        <x:v>未公开核实</x:v>
      </x:c>
      <x:c r="E7" s="60" t="str">
        <x:v>S22</x:v>
      </x:c>
      <x:c r="F7" s="60" t="str">
        <x:v>未知</x:v>
      </x:c>
      <x:c r="G7" s="60" t="str">
        <x:v>已检查官网/公开产品/活动资料；具体缺口见证据缺口表</x:v>
      </x:c>
    </x:row>
    <x:row r="8" ht="36" customHeight="1">
      <x:c r="A8" s="60" t="str">
        <x:v>京城俱乐部</x:v>
      </x:c>
      <x:c r="B8" s="60" t="str">
        <x:v>价格</x:v>
      </x:c>
      <x:c r="C8" s="60" t="str">
        <x:v>首次注册费</x:v>
      </x:c>
      <x:c r="D8" s="60" t="str">
        <x:v>未公开核实</x:v>
      </x:c>
      <x:c r="E8" s="60" t="str">
        <x:v>S22</x:v>
      </x:c>
      <x:c r="F8" s="60" t="str">
        <x:v>未知</x:v>
      </x:c>
      <x:c r="G8" s="60" t="str">
        <x:v>已检查官网/公开产品/活动资料；具体缺口见证据缺口表</x:v>
      </x:c>
    </x:row>
    <x:row r="9" ht="36" customHeight="1">
      <x:c r="A9" s="60" t="str">
        <x:v>京城俱乐部</x:v>
      </x:c>
      <x:c r="B9" s="60" t="str">
        <x:v>价格</x:v>
      </x:c>
      <x:c r="C9" s="60" t="str">
        <x:v>续费价格</x:v>
      </x:c>
      <x:c r="D9" s="60" t="str">
        <x:v>未公开核实</x:v>
      </x:c>
      <x:c r="E9" s="60" t="str">
        <x:v>S22</x:v>
      </x:c>
      <x:c r="F9" s="60" t="str">
        <x:v>未知</x:v>
      </x:c>
      <x:c r="G9" s="60" t="str">
        <x:v>已检查官网/公开产品/活动资料；具体缺口见证据缺口表</x:v>
      </x:c>
    </x:row>
    <x:row r="10" ht="36" customHeight="1">
      <x:c r="A10" s="60" t="str">
        <x:v>京城俱乐部</x:v>
      </x:c>
      <x:c r="B10" s="60" t="str">
        <x:v>价格</x:v>
      </x:c>
      <x:c r="C10" s="60" t="str">
        <x:v>服务期限</x:v>
      </x:c>
      <x:c r="D10" s="60" t="str">
        <x:v>未公开核实</x:v>
      </x:c>
      <x:c r="E10" s="60" t="str">
        <x:v>S22</x:v>
      </x:c>
      <x:c r="F10" s="60" t="str">
        <x:v>未知</x:v>
      </x:c>
      <x:c r="G10" s="60" t="str">
        <x:v>已检查官网/公开产品/活动资料；具体缺口见证据缺口表</x:v>
      </x:c>
    </x:row>
    <x:row r="11" ht="36" customHeight="1">
      <x:c r="A11" s="60" t="str">
        <x:v>京城俱乐部</x:v>
      </x:c>
      <x:c r="B11" s="60" t="str">
        <x:v>价格</x:v>
      </x:c>
      <x:c r="C11" s="60" t="str">
        <x:v>自动续费</x:v>
      </x:c>
      <x:c r="D11" s="60" t="str">
        <x:v>未公开核实</x:v>
      </x:c>
      <x:c r="E11" s="60" t="str">
        <x:v>S22</x:v>
      </x:c>
      <x:c r="F11" s="60" t="str">
        <x:v>未知</x:v>
      </x:c>
      <x:c r="G11" s="60" t="str">
        <x:v>已检查官网/公开产品/活动资料；具体缺口见证据缺口表</x:v>
      </x:c>
    </x:row>
    <x:row r="12" ht="36" customHeight="1">
      <x:c r="A12" s="60" t="str">
        <x:v>京城俱乐部</x:v>
      </x:c>
      <x:c r="B12" s="60" t="str">
        <x:v>价格</x:v>
      </x:c>
      <x:c r="C12" s="60" t="str">
        <x:v>会员等级价格</x:v>
      </x:c>
      <x:c r="D12" s="60" t="str">
        <x:v>未公开核实</x:v>
      </x:c>
      <x:c r="E12" s="60" t="str">
        <x:v>S22</x:v>
      </x:c>
      <x:c r="F12" s="60" t="str">
        <x:v>未知</x:v>
      </x:c>
      <x:c r="G12" s="60" t="str">
        <x:v>已检查官网/公开产品/活动资料；具体缺口见证据缺口表</x:v>
      </x:c>
    </x:row>
    <x:row r="13" ht="36" customHeight="1">
      <x:c r="A13" s="60" t="str">
        <x:v>京城俱乐部</x:v>
      </x:c>
      <x:c r="B13" s="60" t="str">
        <x:v>价格</x:v>
      </x:c>
      <x:c r="C13" s="60" t="str">
        <x:v>升级规则</x:v>
      </x:c>
      <x:c r="D13" s="60" t="str">
        <x:v>未公开核实</x:v>
      </x:c>
      <x:c r="E13" s="60" t="str">
        <x:v>S22</x:v>
      </x:c>
      <x:c r="F13" s="60" t="str">
        <x:v>未知</x:v>
      </x:c>
      <x:c r="G13" s="60" t="str">
        <x:v>已检查官网/公开产品/活动资料；具体缺口见证据缺口表</x:v>
      </x:c>
    </x:row>
    <x:row r="14" ht="36" customHeight="1">
      <x:c r="A14" s="60" t="str">
        <x:v>京城俱乐部</x:v>
      </x:c>
      <x:c r="B14" s="60" t="str">
        <x:v>价格</x:v>
      </x:c>
      <x:c r="C14" s="60" t="str">
        <x:v>降级规则</x:v>
      </x:c>
      <x:c r="D14" s="60" t="str">
        <x:v>未公开核实</x:v>
      </x:c>
      <x:c r="E14" s="60" t="str">
        <x:v>S22</x:v>
      </x:c>
      <x:c r="F14" s="60" t="str">
        <x:v>未知</x:v>
      </x:c>
      <x:c r="G14" s="60" t="str">
        <x:v>已检查官网/公开产品/活动资料；具体缺口见证据缺口表</x:v>
      </x:c>
    </x:row>
    <x:row r="15" ht="36" customHeight="1">
      <x:c r="A15" s="60" t="str">
        <x:v>京城俱乐部</x:v>
      </x:c>
      <x:c r="B15" s="60" t="str">
        <x:v>价格</x:v>
      </x:c>
      <x:c r="C15" s="60" t="str">
        <x:v>会员活动价</x:v>
      </x:c>
      <x:c r="D15" s="60" t="str">
        <x:v>未公开核实</x:v>
      </x:c>
      <x:c r="E15" s="60" t="str">
        <x:v>S22</x:v>
      </x:c>
      <x:c r="F15" s="60" t="str">
        <x:v>未知</x:v>
      </x:c>
      <x:c r="G15" s="60" t="str">
        <x:v>已检查官网/公开产品/活动资料；具体缺口见证据缺口表</x:v>
      </x:c>
    </x:row>
    <x:row r="16" ht="36" customHeight="1">
      <x:c r="A16" s="60" t="str">
        <x:v>京城俱乐部</x:v>
      </x:c>
      <x:c r="B16" s="60" t="str">
        <x:v>价格</x:v>
      </x:c>
      <x:c r="C16" s="60" t="str">
        <x:v>非会员活动价</x:v>
      </x:c>
      <x:c r="D16" s="60" t="str">
        <x:v>未公开核实</x:v>
      </x:c>
      <x:c r="E16" s="60" t="str">
        <x:v>S22</x:v>
      </x:c>
      <x:c r="F16" s="60" t="str">
        <x:v>未知</x:v>
      </x:c>
      <x:c r="G16" s="60" t="str">
        <x:v>已检查官网/公开产品/活动资料；具体缺口见证据缺口表</x:v>
      </x:c>
    </x:row>
    <x:row r="17" ht="36" customHeight="1">
      <x:c r="A17" s="60" t="str">
        <x:v>京城俱乐部</x:v>
      </x:c>
      <x:c r="B17" s="60" t="str">
        <x:v>价格</x:v>
      </x:c>
      <x:c r="C17" s="60" t="str">
        <x:v>体验价</x:v>
      </x:c>
      <x:c r="D17" s="60" t="str">
        <x:v>未公开核实</x:v>
      </x:c>
      <x:c r="E17" s="60" t="str">
        <x:v>S22</x:v>
      </x:c>
      <x:c r="F17" s="60" t="str">
        <x:v>未知</x:v>
      </x:c>
      <x:c r="G17" s="60" t="str">
        <x:v>已检查官网/公开产品/活动资料；具体缺口见证据缺口表</x:v>
      </x:c>
    </x:row>
    <x:row r="18" ht="36" customHeight="1">
      <x:c r="A18" s="60" t="str">
        <x:v>京城俱乐部</x:v>
      </x:c>
      <x:c r="B18" s="60" t="str">
        <x:v>价格</x:v>
      </x:c>
      <x:c r="C18" s="60" t="str">
        <x:v>早鸟价</x:v>
      </x:c>
      <x:c r="D18" s="60" t="str">
        <x:v>未公开核实</x:v>
      </x:c>
      <x:c r="E18" s="60" t="str">
        <x:v>S22</x:v>
      </x:c>
      <x:c r="F18" s="60" t="str">
        <x:v>未知</x:v>
      </x:c>
      <x:c r="G18" s="60" t="str">
        <x:v>已检查官网/公开产品/活动资料；具体缺口见证据缺口表</x:v>
      </x:c>
    </x:row>
    <x:row r="19" ht="36" customHeight="1">
      <x:c r="A19" s="60" t="str">
        <x:v>京城俱乐部</x:v>
      </x:c>
      <x:c r="B19" s="60" t="str">
        <x:v>价格</x:v>
      </x:c>
      <x:c r="C19" s="60" t="str">
        <x:v>带客价</x:v>
      </x:c>
      <x:c r="D19" s="60" t="str">
        <x:v>未公开核实</x:v>
      </x:c>
      <x:c r="E19" s="60" t="str">
        <x:v>S22</x:v>
      </x:c>
      <x:c r="F19" s="60" t="str">
        <x:v>未知</x:v>
      </x:c>
      <x:c r="G19" s="60" t="str">
        <x:v>已检查官网/公开产品/活动资料；具体缺口见证据缺口表</x:v>
      </x:c>
    </x:row>
    <x:row r="20" ht="36" customHeight="1">
      <x:c r="A20" s="60" t="str">
        <x:v>京城俱乐部</x:v>
      </x:c>
      <x:c r="B20" s="60" t="str">
        <x:v>价格</x:v>
      </x:c>
      <x:c r="C20" s="60" t="str">
        <x:v>旅行价格</x:v>
      </x:c>
      <x:c r="D20" s="60" t="str">
        <x:v>未公开核实</x:v>
      </x:c>
      <x:c r="E20" s="60" t="str">
        <x:v>S22</x:v>
      </x:c>
      <x:c r="F20" s="60" t="str">
        <x:v>未知</x:v>
      </x:c>
      <x:c r="G20" s="60" t="str">
        <x:v>已检查官网/公开产品/活动资料；具体缺口见证据缺口表</x:v>
      </x:c>
    </x:row>
    <x:row r="21" ht="36" customHeight="1">
      <x:c r="A21" s="60" t="str">
        <x:v>京城俱乐部</x:v>
      </x:c>
      <x:c r="B21" s="60" t="str">
        <x:v>价格</x:v>
      </x:c>
      <x:c r="C21" s="60" t="str">
        <x:v>旅行天数</x:v>
      </x:c>
      <x:c r="D21" s="60" t="str">
        <x:v>未公开核实</x:v>
      </x:c>
      <x:c r="E21" s="60" t="str">
        <x:v>S22</x:v>
      </x:c>
      <x:c r="F21" s="60" t="str">
        <x:v>未知</x:v>
      </x:c>
      <x:c r="G21" s="60" t="str">
        <x:v>已检查官网/公开产品/活动资料；具体缺口见证据缺口表</x:v>
      </x:c>
    </x:row>
    <x:row r="22" ht="36" customHeight="1">
      <x:c r="A22" s="60" t="str">
        <x:v>京城俱乐部</x:v>
      </x:c>
      <x:c r="B22" s="60" t="str">
        <x:v>价格</x:v>
      </x:c>
      <x:c r="C22" s="60" t="str">
        <x:v>旅行人数</x:v>
      </x:c>
      <x:c r="D22" s="60" t="str">
        <x:v>未公开核实</x:v>
      </x:c>
      <x:c r="E22" s="60" t="str">
        <x:v>S22</x:v>
      </x:c>
      <x:c r="F22" s="60" t="str">
        <x:v>未知</x:v>
      </x:c>
      <x:c r="G22" s="60" t="str">
        <x:v>已检查官网/公开产品/活动资料；具体缺口见证据缺口表</x:v>
      </x:c>
    </x:row>
    <x:row r="23" ht="36" customHeight="1">
      <x:c r="A23" s="60" t="str">
        <x:v>京城俱乐部</x:v>
      </x:c>
      <x:c r="B23" s="60" t="str">
        <x:v>价格</x:v>
      </x:c>
      <x:c r="C23" s="60" t="str">
        <x:v>住宿标准</x:v>
      </x:c>
      <x:c r="D23" s="60" t="str">
        <x:v>未公开核实</x:v>
      </x:c>
      <x:c r="E23" s="60" t="str">
        <x:v>S22</x:v>
      </x:c>
      <x:c r="F23" s="60" t="str">
        <x:v>未知</x:v>
      </x:c>
      <x:c r="G23" s="60" t="str">
        <x:v>已检查官网/公开产品/活动资料；具体缺口见证据缺口表</x:v>
      </x:c>
    </x:row>
    <x:row r="24" ht="36" customHeight="1">
      <x:c r="A24" s="60" t="str">
        <x:v>京城俱乐部</x:v>
      </x:c>
      <x:c r="B24" s="60" t="str">
        <x:v>价格</x:v>
      </x:c>
      <x:c r="C24" s="60" t="str">
        <x:v>交通及机票</x:v>
      </x:c>
      <x:c r="D24" s="60" t="str">
        <x:v>未公开核实</x:v>
      </x:c>
      <x:c r="E24" s="60" t="str">
        <x:v>S22</x:v>
      </x:c>
      <x:c r="F24" s="60" t="str">
        <x:v>未知</x:v>
      </x:c>
      <x:c r="G24" s="60" t="str">
        <x:v>已检查官网/公开产品/活动资料；具体缺口见证据缺口表</x:v>
      </x:c>
    </x:row>
    <x:row r="25" ht="36" customHeight="1">
      <x:c r="A25" s="60" t="str">
        <x:v>京城俱乐部</x:v>
      </x:c>
      <x:c r="B25" s="60" t="str">
        <x:v>价格</x:v>
      </x:c>
      <x:c r="C25" s="60" t="str">
        <x:v>私董会价格</x:v>
      </x:c>
      <x:c r="D25" s="60" t="str">
        <x:v>未公开核实</x:v>
      </x:c>
      <x:c r="E25" s="60" t="str">
        <x:v>S22</x:v>
      </x:c>
      <x:c r="F25" s="60" t="str">
        <x:v>未知</x:v>
      </x:c>
      <x:c r="G25" s="60" t="str">
        <x:v>已检查官网/公开产品/活动资料；具体缺口见证据缺口表</x:v>
      </x:c>
    </x:row>
    <x:row r="26" ht="36" customHeight="1">
      <x:c r="A26" s="60" t="str">
        <x:v>京城俱乐部</x:v>
      </x:c>
      <x:c r="B26" s="60" t="str">
        <x:v>价格</x:v>
      </x:c>
      <x:c r="C26" s="60" t="str">
        <x:v>参访价格</x:v>
      </x:c>
      <x:c r="D26" s="60" t="str">
        <x:v>未公开核实</x:v>
      </x:c>
      <x:c r="E26" s="60" t="str">
        <x:v>S22</x:v>
      </x:c>
      <x:c r="F26" s="60" t="str">
        <x:v>未知</x:v>
      </x:c>
      <x:c r="G26" s="60" t="str">
        <x:v>已检查官网/公开产品/活动资料；具体缺口见证据缺口表</x:v>
      </x:c>
    </x:row>
    <x:row r="27" ht="36" customHeight="1">
      <x:c r="A27" s="60" t="str">
        <x:v>京城俱乐部</x:v>
      </x:c>
      <x:c r="B27" s="60" t="str">
        <x:v>价格</x:v>
      </x:c>
      <x:c r="C27" s="60" t="str">
        <x:v>导师配置</x:v>
      </x:c>
      <x:c r="D27" s="60" t="str">
        <x:v>未公开核实</x:v>
      </x:c>
      <x:c r="E27" s="60" t="str">
        <x:v>S22</x:v>
      </x:c>
      <x:c r="F27" s="60" t="str">
        <x:v>未知</x:v>
      </x:c>
      <x:c r="G27" s="60" t="str">
        <x:v>已检查官网/公开产品/活动资料；具体缺口见证据缺口表</x:v>
      </x:c>
    </x:row>
    <x:row r="28" ht="36" customHeight="1">
      <x:c r="A28" s="60" t="str">
        <x:v>京城俱乐部</x:v>
      </x:c>
      <x:c r="B28" s="60" t="str">
        <x:v>价格</x:v>
      </x:c>
      <x:c r="C28" s="60" t="str">
        <x:v>婚恋服务期</x:v>
      </x:c>
      <x:c r="D28" s="60" t="str">
        <x:v>未公开核实</x:v>
      </x:c>
      <x:c r="E28" s="60" t="str">
        <x:v>S22</x:v>
      </x:c>
      <x:c r="F28" s="60" t="str">
        <x:v>未知</x:v>
      </x:c>
      <x:c r="G28" s="60" t="str">
        <x:v>已检查官网/公开产品/活动资料；具体缺口见证据缺口表</x:v>
      </x:c>
    </x:row>
    <x:row r="29" ht="36" customHeight="1">
      <x:c r="A29" s="60" t="str">
        <x:v>京城俱乐部</x:v>
      </x:c>
      <x:c r="B29" s="60" t="str">
        <x:v>价格</x:v>
      </x:c>
      <x:c r="C29" s="60" t="str">
        <x:v>婚恋介绍次数</x:v>
      </x:c>
      <x:c r="D29" s="60" t="str">
        <x:v>未公开核实</x:v>
      </x:c>
      <x:c r="E29" s="60" t="str">
        <x:v>S22</x:v>
      </x:c>
      <x:c r="F29" s="60" t="str">
        <x:v>未知</x:v>
      </x:c>
      <x:c r="G29" s="60" t="str">
        <x:v>已检查官网/公开产品/活动资料；具体缺口见证据缺口表</x:v>
      </x:c>
    </x:row>
    <x:row r="30" ht="36" customHeight="1">
      <x:c r="A30" s="60" t="str">
        <x:v>京城俱乐部</x:v>
      </x:c>
      <x:c r="B30" s="60" t="str">
        <x:v>价格</x:v>
      </x:c>
      <x:c r="C30" s="60" t="str">
        <x:v>婚恋匹配范围</x:v>
      </x:c>
      <x:c r="D30" s="60" t="str">
        <x:v>未公开核实</x:v>
      </x:c>
      <x:c r="E30" s="60" t="str">
        <x:v>S22</x:v>
      </x:c>
      <x:c r="F30" s="60" t="str">
        <x:v>未知</x:v>
      </x:c>
      <x:c r="G30" s="60" t="str">
        <x:v>已检查官网/公开产品/活动资料；具体缺口见证据缺口表</x:v>
      </x:c>
    </x:row>
    <x:row r="31" ht="36" customHeight="1">
      <x:c r="A31" s="60" t="str">
        <x:v>京城俱乐部</x:v>
      </x:c>
      <x:c r="B31" s="60" t="str">
        <x:v>价格</x:v>
      </x:c>
      <x:c r="C31" s="60" t="str">
        <x:v>顾问服务</x:v>
      </x:c>
      <x:c r="D31" s="60" t="str">
        <x:v>未公开核实</x:v>
      </x:c>
      <x:c r="E31" s="60" t="str">
        <x:v>S22</x:v>
      </x:c>
      <x:c r="F31" s="60" t="str">
        <x:v>未知</x:v>
      </x:c>
      <x:c r="G31" s="60" t="str">
        <x:v>已检查官网/公开产品/活动资料；具体缺口见证据缺口表</x:v>
      </x:c>
    </x:row>
    <x:row r="32" ht="36" customHeight="1">
      <x:c r="A32" s="60" t="str">
        <x:v>京城俱乐部</x:v>
      </x:c>
      <x:c r="B32" s="60" t="str">
        <x:v>价格</x:v>
      </x:c>
      <x:c r="C32" s="60" t="str">
        <x:v>伴侣价格</x:v>
      </x:c>
      <x:c r="D32" s="60" t="str">
        <x:v>未公开核实</x:v>
      </x:c>
      <x:c r="E32" s="60" t="str">
        <x:v>S22</x:v>
      </x:c>
      <x:c r="F32" s="60" t="str">
        <x:v>未知</x:v>
      </x:c>
      <x:c r="G32" s="60" t="str">
        <x:v>已检查官网/公开产品/活动资料；具体缺口见证据缺口表</x:v>
      </x:c>
    </x:row>
    <x:row r="33" ht="36" customHeight="1">
      <x:c r="A33" s="60" t="str">
        <x:v>京城俱乐部</x:v>
      </x:c>
      <x:c r="B33" s="60" t="str">
        <x:v>价格</x:v>
      </x:c>
      <x:c r="C33" s="60" t="str">
        <x:v>家庭价格</x:v>
      </x:c>
      <x:c r="D33" s="60" t="str">
        <x:v>未公开核实</x:v>
      </x:c>
      <x:c r="E33" s="60" t="str">
        <x:v>S22</x:v>
      </x:c>
      <x:c r="F33" s="60" t="str">
        <x:v>未知</x:v>
      </x:c>
      <x:c r="G33" s="60" t="str">
        <x:v>已检查官网/公开产品/活动资料；具体缺口见证据缺口表</x:v>
      </x:c>
    </x:row>
    <x:row r="34" ht="36" customHeight="1">
      <x:c r="A34" s="60" t="str">
        <x:v>京城俱乐部</x:v>
      </x:c>
      <x:c r="B34" s="60" t="str">
        <x:v>价格</x:v>
      </x:c>
      <x:c r="C34" s="60" t="str">
        <x:v>退款规则</x:v>
      </x:c>
      <x:c r="D34" s="60" t="str">
        <x:v>未公开核实</x:v>
      </x:c>
      <x:c r="E34" s="60" t="str">
        <x:v>S22</x:v>
      </x:c>
      <x:c r="F34" s="60" t="str">
        <x:v>未知</x:v>
      </x:c>
      <x:c r="G34" s="60" t="str">
        <x:v>已检查官网/公开产品/活动资料；具体缺口见证据缺口表</x:v>
      </x:c>
    </x:row>
    <x:row r="35" ht="36" customHeight="1">
      <x:c r="A35" s="60" t="str">
        <x:v>京城俱乐部</x:v>
      </x:c>
      <x:c r="B35" s="60" t="str">
        <x:v>价格</x:v>
      </x:c>
      <x:c r="C35" s="60" t="str">
        <x:v>取消规则</x:v>
      </x:c>
      <x:c r="D35" s="60" t="str">
        <x:v>未公开核实</x:v>
      </x:c>
      <x:c r="E35" s="60" t="str">
        <x:v>S22</x:v>
      </x:c>
      <x:c r="F35" s="60" t="str">
        <x:v>未知</x:v>
      </x:c>
      <x:c r="G35" s="60" t="str">
        <x:v>已检查官网/公开产品/活动资料；具体缺口见证据缺口表</x:v>
      </x:c>
    </x:row>
    <x:row r="36" ht="36" customHeight="1">
      <x:c r="A36" s="60" t="str">
        <x:v>京城俱乐部</x:v>
      </x:c>
      <x:c r="B36" s="60" t="str">
        <x:v>价格</x:v>
      </x:c>
      <x:c r="C36" s="60" t="str">
        <x:v>转让规则</x:v>
      </x:c>
      <x:c r="D36" s="60" t="str">
        <x:v>未公开核实</x:v>
      </x:c>
      <x:c r="E36" s="60" t="str">
        <x:v>S22</x:v>
      </x:c>
      <x:c r="F36" s="60" t="str">
        <x:v>未知</x:v>
      </x:c>
      <x:c r="G36" s="60" t="str">
        <x:v>已检查官网/公开产品/活动资料；具体缺口见证据缺口表</x:v>
      </x:c>
    </x:row>
    <x:row r="37" ht="36" customHeight="1">
      <x:c r="A37" s="60" t="str">
        <x:v>京城俱乐部</x:v>
      </x:c>
      <x:c r="B37" s="60" t="str">
        <x:v>价格</x:v>
      </x:c>
      <x:c r="C37" s="60" t="str">
        <x:v>价格变化</x:v>
      </x:c>
      <x:c r="D37" s="60" t="str">
        <x:v>未公开核实</x:v>
      </x:c>
      <x:c r="E37" s="60" t="str">
        <x:v>S22</x:v>
      </x:c>
      <x:c r="F37" s="60" t="str">
        <x:v>未知</x:v>
      </x:c>
      <x:c r="G37" s="60" t="str">
        <x:v>已检查官网/公开产品/活动资料；具体缺口见证据缺口表</x:v>
      </x:c>
    </x:row>
    <x:row r="38" ht="36" customHeight="1">
      <x:c r="A38" s="60" t="str">
        <x:v>京城俱乐部</x:v>
      </x:c>
      <x:c r="B38" s="60" t="str">
        <x:v>产品</x:v>
      </x:c>
      <x:c r="C38" s="60" t="str">
        <x:v>产品类别</x:v>
      </x:c>
      <x:c r="D38" s="60" t="str">
        <x:v>餐饮 康乐 商务及文化活动</x:v>
      </x:c>
      <x:c r="E38" s="60" t="str">
        <x:v>S22 S24</x:v>
      </x:c>
      <x:c r="F38" s="60" t="str">
        <x:v>已找到部分证据</x:v>
      </x:c>
      <x:c r="G38" s="60" t="str">
        <x:v>已检查官网/公开产品/活动资料；具体缺口见证据缺口表</x:v>
      </x:c>
    </x:row>
    <x:row r="39" ht="36" customHeight="1">
      <x:c r="A39" s="60" t="str">
        <x:v>京城俱乐部</x:v>
      </x:c>
      <x:c r="B39" s="60" t="str">
        <x:v>产品</x:v>
      </x:c>
      <x:c r="C39" s="60" t="str">
        <x:v>核心需求</x:v>
      </x:c>
      <x:c r="D39" s="60" t="str">
        <x:v>商务交流及生活设施服务 品牌定位</x:v>
      </x:c>
      <x:c r="E39" s="60" t="str">
        <x:v>S22 S23</x:v>
      </x:c>
      <x:c r="F39" s="60" t="str">
        <x:v>已找到部分证据</x:v>
      </x:c>
      <x:c r="G39" s="60" t="str">
        <x:v>已检查官网/公开产品/活动资料；具体缺口见证据缺口表</x:v>
      </x:c>
    </x:row>
    <x:row r="40" ht="36" customHeight="1">
      <x:c r="A40" s="60" t="str">
        <x:v>京城俱乐部</x:v>
      </x:c>
      <x:c r="B40" s="60" t="str">
        <x:v>产品</x:v>
      </x:c>
      <x:c r="C40" s="60" t="str">
        <x:v>对外承诺</x:v>
      </x:c>
      <x:c r="D40" s="60" t="str">
        <x:v>未公开核实</x:v>
      </x:c>
      <x:c r="E40" s="60" t="str">
        <x:v>S22</x:v>
      </x:c>
      <x:c r="F40" s="60" t="str">
        <x:v>未知</x:v>
      </x:c>
      <x:c r="G40" s="60" t="str">
        <x:v>已检查官网/公开产品/活动资料；具体缺口见证据缺口表</x:v>
      </x:c>
    </x:row>
    <x:row r="41" ht="36" customHeight="1">
      <x:c r="A41" s="60" t="str">
        <x:v>京城俱乐部</x:v>
      </x:c>
      <x:c r="B41" s="60" t="str">
        <x:v>产品</x:v>
      </x:c>
      <x:c r="C41" s="60" t="str">
        <x:v>收费模式</x:v>
      </x:c>
      <x:c r="D41" s="60" t="str">
        <x:v>会籍与场景消费，完整结构待核</x:v>
      </x:c>
      <x:c r="E41" s="60" t="str">
        <x:v>S23</x:v>
      </x:c>
      <x:c r="F41" s="60" t="str">
        <x:v>已找到部分证据</x:v>
      </x:c>
      <x:c r="G41" s="60" t="str">
        <x:v>已检查官网/公开产品/活动资料；具体缺口见证据缺口表</x:v>
      </x:c>
    </x:row>
    <x:row r="42" ht="36" customHeight="1">
      <x:c r="A42" s="60" t="str">
        <x:v>京城俱乐部</x:v>
      </x:c>
      <x:c r="B42" s="60" t="str">
        <x:v>产品</x:v>
      </x:c>
      <x:c r="C42" s="60" t="str">
        <x:v>服务频次</x:v>
      </x:c>
      <x:c r="D42" s="60" t="str">
        <x:v>未公开核实</x:v>
      </x:c>
      <x:c r="E42" s="60" t="str">
        <x:v>S22</x:v>
      </x:c>
      <x:c r="F42" s="60" t="str">
        <x:v>未知</x:v>
      </x:c>
      <x:c r="G42" s="60" t="str">
        <x:v>已检查官网/公开产品/活动资料；具体缺口见证据缺口表</x:v>
      </x:c>
    </x:row>
    <x:row r="43" ht="36" customHeight="1">
      <x:c r="A43" s="60" t="str">
        <x:v>京城俱乐部</x:v>
      </x:c>
      <x:c r="B43" s="60" t="str">
        <x:v>产品</x:v>
      </x:c>
      <x:c r="C43" s="60" t="str">
        <x:v>线上线下比例</x:v>
      </x:c>
      <x:c r="D43" s="60" t="str">
        <x:v>未公开核实</x:v>
      </x:c>
      <x:c r="E43" s="60" t="str">
        <x:v>S22</x:v>
      </x:c>
      <x:c r="F43" s="60" t="str">
        <x:v>未知</x:v>
      </x:c>
      <x:c r="G43" s="60" t="str">
        <x:v>已检查官网/公开产品/活动资料；具体缺口见证据缺口表</x:v>
      </x:c>
    </x:row>
    <x:row r="44" ht="36" customHeight="1">
      <x:c r="A44" s="60" t="str">
        <x:v>京城俱乐部</x:v>
      </x:c>
      <x:c r="B44" s="60" t="str">
        <x:v>产品</x:v>
      </x:c>
      <x:c r="C44" s="60" t="str">
        <x:v>城市范围</x:v>
      </x:c>
      <x:c r="D44" s="60" t="str">
        <x:v>北京；互惠网络另有规则</x:v>
      </x:c>
      <x:c r="E44" s="60" t="str">
        <x:v>S22 S23</x:v>
      </x:c>
      <x:c r="F44" s="60" t="str">
        <x:v>已找到部分证据</x:v>
      </x:c>
      <x:c r="G44" s="60" t="str">
        <x:v>已检查官网/公开产品/活动资料；具体缺口见证据缺口表</x:v>
      </x:c>
    </x:row>
    <x:row r="45" ht="36" customHeight="1">
      <x:c r="A45" s="60" t="str">
        <x:v>京城俱乐部</x:v>
      </x:c>
      <x:c r="B45" s="60" t="str">
        <x:v>产品</x:v>
      </x:c>
      <x:c r="C45" s="60" t="str">
        <x:v>包含名额</x:v>
      </x:c>
      <x:c r="D45" s="60" t="str">
        <x:v>未公开核实</x:v>
      </x:c>
      <x:c r="E45" s="60" t="str">
        <x:v>S22</x:v>
      </x:c>
      <x:c r="F45" s="60" t="str">
        <x:v>未知</x:v>
      </x:c>
      <x:c r="G45" s="60" t="str">
        <x:v>已检查官网/公开产品/活动资料；具体缺口见证据缺口表</x:v>
      </x:c>
    </x:row>
    <x:row r="46" ht="36" customHeight="1">
      <x:c r="A46" s="60" t="str">
        <x:v>京城俱乐部</x:v>
      </x:c>
      <x:c r="B46" s="60" t="str">
        <x:v>产品</x:v>
      </x:c>
      <x:c r="C46" s="60" t="str">
        <x:v>额外收费</x:v>
      </x:c>
      <x:c r="D46" s="60" t="str">
        <x:v>未公开核实</x:v>
      </x:c>
      <x:c r="E46" s="60" t="str">
        <x:v>S22</x:v>
      </x:c>
      <x:c r="F46" s="60" t="str">
        <x:v>未知</x:v>
      </x:c>
      <x:c r="G46" s="60" t="str">
        <x:v>已检查官网/公开产品/活动资料；具体缺口见证据缺口表</x:v>
      </x:c>
    </x:row>
    <x:row r="47" ht="36" customHeight="1">
      <x:c r="A47" s="60" t="str">
        <x:v>京城俱乐部</x:v>
      </x:c>
      <x:c r="B47" s="60" t="str">
        <x:v>产品</x:v>
      </x:c>
      <x:c r="C47" s="60" t="str">
        <x:v>预约候补</x:v>
      </x:c>
      <x:c r="D47" s="60" t="str">
        <x:v>预约有规则；候补未披露</x:v>
      </x:c>
      <x:c r="E47" s="60" t="str">
        <x:v>S25</x:v>
      </x:c>
      <x:c r="F47" s="60" t="str">
        <x:v>已找到部分证据</x:v>
      </x:c>
      <x:c r="G47" s="60" t="str">
        <x:v>已检查官网/公开产品/活动资料；具体缺口见证据缺口表</x:v>
      </x:c>
    </x:row>
    <x:row r="48" ht="36" customHeight="1">
      <x:c r="A48" s="60" t="str">
        <x:v>京城俱乐部</x:v>
      </x:c>
      <x:c r="B48" s="60" t="str">
        <x:v>产品</x:v>
      </x:c>
      <x:c r="C48" s="60" t="str">
        <x:v>非会员参加</x:v>
      </x:c>
      <x:c r="D48" s="60" t="str">
        <x:v>未公开核实</x:v>
      </x:c>
      <x:c r="E48" s="60" t="str">
        <x:v>S22</x:v>
      </x:c>
      <x:c r="F48" s="60" t="str">
        <x:v>未知</x:v>
      </x:c>
      <x:c r="G48" s="60" t="str">
        <x:v>已检查官网/公开产品/活动资料；具体缺口见证据缺口表</x:v>
      </x:c>
    </x:row>
    <x:row r="49" ht="36" customHeight="1">
      <x:c r="A49" s="60" t="str">
        <x:v>京城俱乐部</x:v>
      </x:c>
      <x:c r="B49" s="60" t="str">
        <x:v>产品</x:v>
      </x:c>
      <x:c r="C49" s="60" t="str">
        <x:v>带朋友或伴侣</x:v>
      </x:c>
      <x:c r="D49" s="60" t="str">
        <x:v>有家人及宾客使用场景，具体权益须核</x:v>
      </x:c>
      <x:c r="E49" s="60" t="str">
        <x:v>S22 S25</x:v>
      </x:c>
      <x:c r="F49" s="60" t="str">
        <x:v>已找到部分证据</x:v>
      </x:c>
      <x:c r="G49" s="60" t="str">
        <x:v>已检查官网/公开产品/活动资料；具体缺口见证据缺口表</x:v>
      </x:c>
    </x:row>
    <x:row r="50" ht="36" customHeight="1">
      <x:c r="A50" s="60" t="str">
        <x:v>京城俱乐部</x:v>
      </x:c>
      <x:c r="B50" s="60" t="str">
        <x:v>产品</x:v>
      </x:c>
      <x:c r="C50" s="60" t="str">
        <x:v>体验至升级路径</x:v>
      </x:c>
      <x:c r="D50" s="60" t="str">
        <x:v>未公开核实</x:v>
      </x:c>
      <x:c r="E50" s="60" t="str">
        <x:v>S22</x:v>
      </x:c>
      <x:c r="F50" s="60" t="str">
        <x:v>未知</x:v>
      </x:c>
      <x:c r="G50" s="60" t="str">
        <x:v>已检查官网/公开产品/活动资料；具体缺口见证据缺口表</x:v>
      </x:c>
    </x:row>
    <x:row r="51" ht="36" customHeight="1">
      <x:c r="A51" s="60" t="str">
        <x:v>京城俱乐部</x:v>
      </x:c>
      <x:c r="B51" s="60" t="str">
        <x:v>产品</x:v>
      </x:c>
      <x:c r="C51" s="60" t="str">
        <x:v>自有或合作交付</x:v>
      </x:c>
      <x:c r="D51" s="60" t="str">
        <x:v>有固定场地，并组织合作活动</x:v>
      </x:c>
      <x:c r="E51" s="60" t="str">
        <x:v>S22 S26</x:v>
      </x:c>
      <x:c r="F51" s="60" t="str">
        <x:v>已找到部分证据</x:v>
      </x:c>
      <x:c r="G51" s="60" t="str">
        <x:v>已检查官网/公开产品/活动资料；具体缺口见证据缺口表</x:v>
      </x:c>
    </x:row>
    <x:row r="52" ht="36" customHeight="1">
      <x:c r="A52" s="60" t="str">
        <x:v>京城俱乐部</x:v>
      </x:c>
      <x:c r="B52" s="60" t="str">
        <x:v>产品</x:v>
      </x:c>
      <x:c r="C52" s="60" t="str">
        <x:v>关系状态参与规则</x:v>
      </x:c>
      <x:c r="D52" s="60" t="str">
        <x:v>未公开核实</x:v>
      </x:c>
      <x:c r="E52" s="60" t="str">
        <x:v>S22</x:v>
      </x:c>
      <x:c r="F52" s="60" t="str">
        <x:v>未知</x:v>
      </x:c>
      <x:c r="G52" s="60" t="str">
        <x:v>已检查官网/公开产品/活动资料；具体缺口见证据缺口表</x:v>
      </x:c>
    </x:row>
    <x:row r="53" ht="36" customHeight="1">
      <x:c r="A53" s="60" t="str">
        <x:v>京城俱乐部</x:v>
      </x:c>
      <x:c r="B53" s="60" t="str">
        <x:v>产品</x:v>
      </x:c>
      <x:c r="C53" s="60" t="str">
        <x:v>交叉销售证据</x:v>
      </x:c>
      <x:c r="D53" s="60" t="str">
        <x:v>未公开核实</x:v>
      </x:c>
      <x:c r="E53" s="60" t="str">
        <x:v>S22</x:v>
      </x:c>
      <x:c r="F53" s="60" t="str">
        <x:v>未知</x:v>
      </x:c>
      <x:c r="G53" s="60" t="str">
        <x:v>已检查官网/公开产品/活动资料；具体缺口见证据缺口表</x:v>
      </x:c>
    </x:row>
    <x:row r="54" ht="36" customHeight="1">
      <x:c r="A54" s="60" t="str">
        <x:v>京城俱乐部</x:v>
      </x:c>
      <x:c r="B54" s="60" t="str">
        <x:v>客户</x:v>
      </x:c>
      <x:c r="C54" s="60" t="str">
        <x:v>城市</x:v>
      </x:c>
      <x:c r="D54" s="60" t="str">
        <x:v>北京</x:v>
      </x:c>
      <x:c r="E54" s="60" t="str">
        <x:v>S22</x:v>
      </x:c>
      <x:c r="F54" s="60" t="str">
        <x:v>已找到部分证据</x:v>
      </x:c>
      <x:c r="G54" s="60" t="str">
        <x:v>已检查官网/公开产品/活动资料；具体缺口见证据缺口表</x:v>
      </x:c>
    </x:row>
    <x:row r="55" ht="36" customHeight="1">
      <x:c r="A55" s="60" t="str">
        <x:v>京城俱乐部</x:v>
      </x:c>
      <x:c r="B55" s="60" t="str">
        <x:v>客户</x:v>
      </x:c>
      <x:c r="C55" s="60" t="str">
        <x:v>年龄</x:v>
      </x:c>
      <x:c r="D55" s="60" t="str">
        <x:v>未公开核实</x:v>
      </x:c>
      <x:c r="E55" s="60" t="str">
        <x:v>S22</x:v>
      </x:c>
      <x:c r="F55" s="60" t="str">
        <x:v>未知</x:v>
      </x:c>
      <x:c r="G55" s="60" t="str">
        <x:v>已检查官网/公开产品/活动资料；具体缺口见证据缺口表</x:v>
      </x:c>
    </x:row>
    <x:row r="56" ht="36" customHeight="1">
      <x:c r="A56" s="60" t="str">
        <x:v>京城俱乐部</x:v>
      </x:c>
      <x:c r="B56" s="60" t="str">
        <x:v>客户</x:v>
      </x:c>
      <x:c r="C56" s="60" t="str">
        <x:v>性别结构</x:v>
      </x:c>
      <x:c r="D56" s="60" t="str">
        <x:v>未公开核实</x:v>
      </x:c>
      <x:c r="E56" s="60" t="str">
        <x:v>S22</x:v>
      </x:c>
      <x:c r="F56" s="60" t="str">
        <x:v>未知</x:v>
      </x:c>
      <x:c r="G56" s="60" t="str">
        <x:v>已检查官网/公开产品/活动资料；具体缺口见证据缺口表</x:v>
      </x:c>
    </x:row>
    <x:row r="57" ht="36" customHeight="1">
      <x:c r="A57" s="60" t="str">
        <x:v>京城俱乐部</x:v>
      </x:c>
      <x:c r="B57" s="60" t="str">
        <x:v>客户</x:v>
      </x:c>
      <x:c r="C57" s="60" t="str">
        <x:v>职业行业</x:v>
      </x:c>
      <x:c r="D57" s="60" t="str">
        <x:v>中外商务人士 品牌定位非客户抽样</x:v>
      </x:c>
      <x:c r="E57" s="60" t="str">
        <x:v>S23</x:v>
      </x:c>
      <x:c r="F57" s="60" t="str">
        <x:v>已找到部分证据</x:v>
      </x:c>
      <x:c r="G57" s="60" t="str">
        <x:v>已检查官网/公开产品/活动资料；具体缺口见证据缺口表</x:v>
      </x:c>
    </x:row>
    <x:row r="58" ht="36" customHeight="1">
      <x:c r="A58" s="60" t="str">
        <x:v>京城俱乐部</x:v>
      </x:c>
      <x:c r="B58" s="60" t="str">
        <x:v>客户</x:v>
      </x:c>
      <x:c r="C58" s="60" t="str">
        <x:v>生活阶段</x:v>
      </x:c>
      <x:c r="D58" s="60" t="str">
        <x:v>有家人服务场景，婚姻状态结构未知</x:v>
      </x:c>
      <x:c r="E58" s="60" t="str">
        <x:v>S22</x:v>
      </x:c>
      <x:c r="F58" s="60" t="str">
        <x:v>已找到部分证据</x:v>
      </x:c>
      <x:c r="G58" s="60" t="str">
        <x:v>已检查官网/公开产品/活动资料；具体缺口见证据缺口表</x:v>
      </x:c>
    </x:row>
    <x:row r="59" ht="36" customHeight="1">
      <x:c r="A59" s="60" t="str">
        <x:v>京城俱乐部</x:v>
      </x:c>
      <x:c r="B59" s="60" t="str">
        <x:v>客户</x:v>
      </x:c>
      <x:c r="C59" s="60" t="str">
        <x:v>资产口径</x:v>
      </x:c>
      <x:c r="D59" s="60" t="str">
        <x:v>未公开核实</x:v>
      </x:c>
      <x:c r="E59" s="60" t="str">
        <x:v>S22</x:v>
      </x:c>
      <x:c r="F59" s="60" t="str">
        <x:v>未知</x:v>
      </x:c>
      <x:c r="G59" s="60" t="str">
        <x:v>已检查官网/公开产品/活动资料；具体缺口见证据缺口表</x:v>
      </x:c>
    </x:row>
    <x:row r="60" ht="36" customHeight="1">
      <x:c r="A60" s="60" t="str">
        <x:v>京城俱乐部</x:v>
      </x:c>
      <x:c r="B60" s="60" t="str">
        <x:v>客户</x:v>
      </x:c>
      <x:c r="C60" s="60" t="str">
        <x:v>消费预算</x:v>
      </x:c>
      <x:c r="D60" s="60" t="str">
        <x:v>未公开核实</x:v>
      </x:c>
      <x:c r="E60" s="60" t="str">
        <x:v>S22</x:v>
      </x:c>
      <x:c r="F60" s="60" t="str">
        <x:v>未知</x:v>
      </x:c>
      <x:c r="G60" s="60" t="str">
        <x:v>已检查官网/公开产品/活动资料；具体缺口见证据缺口表</x:v>
      </x:c>
    </x:row>
    <x:row r="61" ht="36" customHeight="1">
      <x:c r="A61" s="60" t="str">
        <x:v>京城俱乐部</x:v>
      </x:c>
      <x:c r="B61" s="60" t="str">
        <x:v>客户</x:v>
      </x:c>
      <x:c r="C61" s="60" t="str">
        <x:v>核心需求</x:v>
      </x:c>
      <x:c r="D61" s="60" t="str">
        <x:v>商务交流及生活设施服务 品牌定位</x:v>
      </x:c>
      <x:c r="E61" s="60" t="str">
        <x:v>S22 S23</x:v>
      </x:c>
      <x:c r="F61" s="60" t="str">
        <x:v>已找到部分证据</x:v>
      </x:c>
      <x:c r="G61" s="60" t="str">
        <x:v>已检查官网/公开产品/活动资料；具体缺口见证据缺口表</x:v>
      </x:c>
    </x:row>
    <x:row r="62" ht="36" customHeight="1">
      <x:c r="A62" s="60" t="str">
        <x:v>京城俱乐部</x:v>
      </x:c>
      <x:c r="B62" s="60" t="str">
        <x:v>客户</x:v>
      </x:c>
      <x:c r="C62" s="60" t="str">
        <x:v>购买触发</x:v>
      </x:c>
      <x:c r="D62" s="60" t="str">
        <x:v>未公开核实</x:v>
      </x:c>
      <x:c r="E62" s="60" t="str">
        <x:v>S22</x:v>
      </x:c>
      <x:c r="F62" s="60" t="str">
        <x:v>未知</x:v>
      </x:c>
      <x:c r="G62" s="60" t="str">
        <x:v>已检查官网/公开产品/活动资料；具体缺口见证据缺口表</x:v>
      </x:c>
    </x:row>
    <x:row r="63" ht="36" customHeight="1">
      <x:c r="A63" s="60" t="str">
        <x:v>京城俱乐部</x:v>
      </x:c>
      <x:c r="B63" s="60" t="str">
        <x:v>客户</x:v>
      </x:c>
      <x:c r="C63" s="60" t="str">
        <x:v>选择标准</x:v>
      </x:c>
      <x:c r="D63" s="60" t="str">
        <x:v>未公开核实</x:v>
      </x:c>
      <x:c r="E63" s="60" t="str">
        <x:v>S22</x:v>
      </x:c>
      <x:c r="F63" s="60" t="str">
        <x:v>未知</x:v>
      </x:c>
      <x:c r="G63" s="60" t="str">
        <x:v>已检查官网/公开产品/活动资料；具体缺口见证据缺口表</x:v>
      </x:c>
    </x:row>
    <x:row r="64" ht="36" customHeight="1">
      <x:c r="A64" s="60" t="str">
        <x:v>京城俱乐部</x:v>
      </x:c>
      <x:c r="B64" s="60" t="str">
        <x:v>客户</x:v>
      </x:c>
      <x:c r="C64" s="60" t="str">
        <x:v>谁发现</x:v>
      </x:c>
      <x:c r="D64" s="60" t="str">
        <x:v>未公开核实</x:v>
      </x:c>
      <x:c r="E64" s="60" t="str">
        <x:v>S22</x:v>
      </x:c>
      <x:c r="F64" s="60" t="str">
        <x:v>未知</x:v>
      </x:c>
      <x:c r="G64" s="60" t="str">
        <x:v>已检查官网/公开产品/活动资料；具体缺口见证据缺口表</x:v>
      </x:c>
    </x:row>
    <x:row r="65" ht="36" customHeight="1">
      <x:c r="A65" s="60" t="str">
        <x:v>京城俱乐部</x:v>
      </x:c>
      <x:c r="B65" s="60" t="str">
        <x:v>客户</x:v>
      </x:c>
      <x:c r="C65" s="60" t="str">
        <x:v>谁推荐</x:v>
      </x:c>
      <x:c r="D65" s="60" t="str">
        <x:v>未公开核实</x:v>
      </x:c>
      <x:c r="E65" s="60" t="str">
        <x:v>S22</x:v>
      </x:c>
      <x:c r="F65" s="60" t="str">
        <x:v>未知</x:v>
      </x:c>
      <x:c r="G65" s="60" t="str">
        <x:v>已检查官网/公开产品/活动资料；具体缺口见证据缺口表</x:v>
      </x:c>
    </x:row>
    <x:row r="66" ht="36" customHeight="1">
      <x:c r="A66" s="60" t="str">
        <x:v>京城俱乐部</x:v>
      </x:c>
      <x:c r="B66" s="60" t="str">
        <x:v>客户</x:v>
      </x:c>
      <x:c r="C66" s="60" t="str">
        <x:v>谁付款</x:v>
      </x:c>
      <x:c r="D66" s="60" t="str">
        <x:v>未公开核实</x:v>
      </x:c>
      <x:c r="E66" s="60" t="str">
        <x:v>S22</x:v>
      </x:c>
      <x:c r="F66" s="60" t="str">
        <x:v>未知</x:v>
      </x:c>
      <x:c r="G66" s="60" t="str">
        <x:v>已检查官网/公开产品/活动资料；具体缺口见证据缺口表</x:v>
      </x:c>
    </x:row>
    <x:row r="67" ht="36" customHeight="1">
      <x:c r="A67" s="60" t="str">
        <x:v>京城俱乐部</x:v>
      </x:c>
      <x:c r="B67" s="60" t="str">
        <x:v>客户</x:v>
      </x:c>
      <x:c r="C67" s="60" t="str">
        <x:v>共同决策</x:v>
      </x:c>
      <x:c r="D67" s="60" t="str">
        <x:v>未公开核实</x:v>
      </x:c>
      <x:c r="E67" s="60" t="str">
        <x:v>S22</x:v>
      </x:c>
      <x:c r="F67" s="60" t="str">
        <x:v>未知</x:v>
      </x:c>
      <x:c r="G67" s="60" t="str">
        <x:v>已检查官网/公开产品/活动资料；具体缺口见证据缺口表</x:v>
      </x:c>
    </x:row>
    <x:row r="68" ht="36" customHeight="1">
      <x:c r="A68" s="60" t="str">
        <x:v>京城俱乐部</x:v>
      </x:c>
      <x:c r="B68" s="60" t="str">
        <x:v>客户</x:v>
      </x:c>
      <x:c r="C68" s="60" t="str">
        <x:v>时间偏好</x:v>
      </x:c>
      <x:c r="D68" s="60" t="str">
        <x:v>未公开核实</x:v>
      </x:c>
      <x:c r="E68" s="60" t="str">
        <x:v>S22</x:v>
      </x:c>
      <x:c r="F68" s="60" t="str">
        <x:v>未知</x:v>
      </x:c>
      <x:c r="G68" s="60" t="str">
        <x:v>已检查官网/公开产品/活动资料；具体缺口见证据缺口表</x:v>
      </x:c>
    </x:row>
    <x:row r="69" ht="36" customHeight="1">
      <x:c r="A69" s="60" t="str">
        <x:v>京城俱乐部</x:v>
      </x:c>
      <x:c r="B69" s="60" t="str">
        <x:v>客户</x:v>
      </x:c>
      <x:c r="C69" s="60" t="str">
        <x:v>活动人数偏好</x:v>
      </x:c>
      <x:c r="D69" s="60" t="str">
        <x:v>未公开核实</x:v>
      </x:c>
      <x:c r="E69" s="60" t="str">
        <x:v>S22</x:v>
      </x:c>
      <x:c r="F69" s="60" t="str">
        <x:v>未知</x:v>
      </x:c>
      <x:c r="G69" s="60" t="str">
        <x:v>已检查官网/公开产品/活动资料；具体缺口见证据缺口表</x:v>
      </x:c>
    </x:row>
    <x:row r="70" ht="36" customHeight="1">
      <x:c r="A70" s="60" t="str">
        <x:v>京城俱乐部</x:v>
      </x:c>
      <x:c r="B70" s="60" t="str">
        <x:v>客户</x:v>
      </x:c>
      <x:c r="C70" s="60" t="str">
        <x:v>顾虑与退出</x:v>
      </x:c>
      <x:c r="D70" s="60" t="str">
        <x:v>未公开核实</x:v>
      </x:c>
      <x:c r="E70" s="60" t="str">
        <x:v>S22</x:v>
      </x:c>
      <x:c r="F70" s="60" t="str">
        <x:v>未知</x:v>
      </x:c>
      <x:c r="G70" s="60" t="str">
        <x:v>已检查官网/公开产品/活动资料；具体缺口见证据缺口表</x:v>
      </x:c>
    </x:row>
    <x:row r="71" ht="36" customHeight="1">
      <x:c r="A71" s="60" t="str">
        <x:v>京城俱乐部</x:v>
      </x:c>
      <x:c r="B71" s="60" t="str">
        <x:v>客户</x:v>
      </x:c>
      <x:c r="C71" s="60" t="str">
        <x:v>留存动机</x:v>
      </x:c>
      <x:c r="D71" s="60" t="str">
        <x:v>未公开核实</x:v>
      </x:c>
      <x:c r="E71" s="60" t="str">
        <x:v>S22</x:v>
      </x:c>
      <x:c r="F71" s="60" t="str">
        <x:v>未知</x:v>
      </x:c>
      <x:c r="G71" s="60" t="str">
        <x:v>已检查官网/公开产品/活动资料；具体缺口见证据缺口表</x:v>
      </x:c>
    </x:row>
    <x:row r="72" ht="36" customHeight="1">
      <x:c r="A72" s="60" t="str">
        <x:v>京城俱乐部</x:v>
      </x:c>
      <x:c r="B72" s="60" t="str">
        <x:v>获客</x:v>
      </x:c>
      <x:c r="C72" s="60" t="str">
        <x:v>公开渠道</x:v>
      </x:c>
      <x:c r="D72" s="60" t="str">
        <x:v>官网；小红书可见第三方场景内容</x:v>
      </x:c>
      <x:c r="E72" s="60" t="str">
        <x:v>S22 X01</x:v>
      </x:c>
      <x:c r="F72" s="60" t="str">
        <x:v>已找到部分证据</x:v>
      </x:c>
      <x:c r="G72" s="60" t="str">
        <x:v>已检查官网/公开产品/活动资料；具体缺口见证据缺口表</x:v>
      </x:c>
    </x:row>
    <x:row r="73" ht="36" customHeight="1">
      <x:c r="A73" s="60" t="str">
        <x:v>京城俱乐部</x:v>
      </x:c>
      <x:c r="B73" s="60" t="str">
        <x:v>获客</x:v>
      </x:c>
      <x:c r="C73" s="60" t="str">
        <x:v>账号身份</x:v>
      </x:c>
      <x:c r="D73" s="60" t="str">
        <x:v>未公开核实</x:v>
      </x:c>
      <x:c r="E73" s="60" t="str">
        <x:v>S22</x:v>
      </x:c>
      <x:c r="F73" s="60" t="str">
        <x:v>未知</x:v>
      </x:c>
      <x:c r="G73" s="60" t="str">
        <x:v>已检查官网/公开产品/活动资料；具体缺口见证据缺口表</x:v>
      </x:c>
    </x:row>
    <x:row r="74" ht="36" customHeight="1">
      <x:c r="A74" s="60" t="str">
        <x:v>京城俱乐部</x:v>
      </x:c>
      <x:c r="B74" s="60" t="str">
        <x:v>获客</x:v>
      </x:c>
      <x:c r="C74" s="60" t="str">
        <x:v>内容主题</x:v>
      </x:c>
      <x:c r="D74" s="60" t="str">
        <x:v>会员空间、餐饮、活动及合作</x:v>
      </x:c>
      <x:c r="E74" s="60" t="str">
        <x:v>S22 S24</x:v>
      </x:c>
      <x:c r="F74" s="60" t="str">
        <x:v>已找到部分证据</x:v>
      </x:c>
      <x:c r="G74" s="60" t="str">
        <x:v>已检查官网/公开产品/活动资料；具体缺口见证据缺口表</x:v>
      </x:c>
    </x:row>
    <x:row r="75" ht="36" customHeight="1">
      <x:c r="A75" s="60" t="str">
        <x:v>京城俱乐部</x:v>
      </x:c>
      <x:c r="B75" s="60" t="str">
        <x:v>获客</x:v>
      </x:c>
      <x:c r="C75" s="60" t="str">
        <x:v>咨询入口</x:v>
      </x:c>
      <x:c r="D75" s="60" t="str">
        <x:v>官网联系或会员服务；未提交表单</x:v>
      </x:c>
      <x:c r="E75" s="60" t="str">
        <x:v>S23</x:v>
      </x:c>
      <x:c r="F75" s="60" t="str">
        <x:v>已找到部分证据</x:v>
      </x:c>
      <x:c r="G75" s="60" t="str">
        <x:v>已检查官网/公开产品/活动资料；具体缺口见证据缺口表</x:v>
      </x:c>
    </x:row>
    <x:row r="76" ht="36" customHeight="1">
      <x:c r="A76" s="60" t="str">
        <x:v>京城俱乐部</x:v>
      </x:c>
      <x:c r="B76" s="60" t="str">
        <x:v>获客</x:v>
      </x:c>
      <x:c r="C76" s="60" t="str">
        <x:v>筛选流程</x:v>
      </x:c>
      <x:c r="D76" s="60" t="str">
        <x:v>未公开核实</x:v>
      </x:c>
      <x:c r="E76" s="60" t="str">
        <x:v>S22</x:v>
      </x:c>
      <x:c r="F76" s="60" t="str">
        <x:v>未知</x:v>
      </x:c>
      <x:c r="G76" s="60" t="str">
        <x:v>已检查官网/公开产品/活动资料；具体缺口见证据缺口表</x:v>
      </x:c>
    </x:row>
    <x:row r="77" ht="36" customHeight="1">
      <x:c r="A77" s="60" t="str">
        <x:v>京城俱乐部</x:v>
      </x:c>
      <x:c r="B77" s="60" t="str">
        <x:v>获客</x:v>
      </x:c>
      <x:c r="C77" s="60" t="str">
        <x:v>体验入口</x:v>
      </x:c>
      <x:c r="D77" s="60" t="str">
        <x:v>未公开核实</x:v>
      </x:c>
      <x:c r="E77" s="60" t="str">
        <x:v>S22</x:v>
      </x:c>
      <x:c r="F77" s="60" t="str">
        <x:v>未知</x:v>
      </x:c>
      <x:c r="G77" s="60" t="str">
        <x:v>已检查官网/公开产品/活动资料；具体缺口见证据缺口表</x:v>
      </x:c>
    </x:row>
    <x:row r="78" ht="36" customHeight="1">
      <x:c r="A78" s="60" t="str">
        <x:v>京城俱乐部</x:v>
      </x:c>
      <x:c r="B78" s="60" t="str">
        <x:v>获客</x:v>
      </x:c>
      <x:c r="C78" s="60" t="str">
        <x:v>成交路径</x:v>
      </x:c>
      <x:c r="D78" s="60" t="str">
        <x:v>未公开核实</x:v>
      </x:c>
      <x:c r="E78" s="60" t="str">
        <x:v>S22</x:v>
      </x:c>
      <x:c r="F78" s="60" t="str">
        <x:v>未知</x:v>
      </x:c>
      <x:c r="G78" s="60" t="str">
        <x:v>已检查官网/公开产品/活动资料；具体缺口见证据缺口表</x:v>
      </x:c>
    </x:row>
    <x:row r="79" ht="36" customHeight="1">
      <x:c r="A79" s="60" t="str">
        <x:v>京城俱乐部</x:v>
      </x:c>
      <x:c r="B79" s="60" t="str">
        <x:v>获客</x:v>
      </x:c>
      <x:c r="C79" s="60" t="str">
        <x:v>信任材料</x:v>
      </x:c>
      <x:c r="D79" s="60" t="str">
        <x:v>场地、规章、会员权益及活动记录</x:v>
      </x:c>
      <x:c r="E79" s="60" t="str">
        <x:v>S22 S23 S25</x:v>
      </x:c>
      <x:c r="F79" s="60" t="str">
        <x:v>已找到部分证据</x:v>
      </x:c>
      <x:c r="G79" s="60" t="str">
        <x:v>已检查官网/公开产品/活动资料；具体缺口见证据缺口表</x:v>
      </x:c>
    </x:row>
    <x:row r="80" ht="36" customHeight="1">
      <x:c r="A80" s="60" t="str">
        <x:v>京城俱乐部</x:v>
      </x:c>
      <x:c r="B80" s="60" t="str">
        <x:v>获客</x:v>
      </x:c>
      <x:c r="C80" s="60" t="str">
        <x:v>合作渠道</x:v>
      </x:c>
      <x:c r="D80" s="60" t="str">
        <x:v>机构及外交文化合作自述和转载</x:v>
      </x:c>
      <x:c r="E80" s="60" t="str">
        <x:v>S22 S26 S27</x:v>
      </x:c>
      <x:c r="F80" s="60" t="str">
        <x:v>已找到部分证据</x:v>
      </x:c>
      <x:c r="G80" s="60" t="str">
        <x:v>已检查官网/公开产品/活动资料；具体缺口见证据缺口表</x:v>
      </x:c>
    </x:row>
    <x:row r="81" ht="36" customHeight="1">
      <x:c r="A81" s="60" t="str">
        <x:v>京城俱乐部</x:v>
      </x:c>
      <x:c r="B81" s="60" t="str">
        <x:v>获客</x:v>
      </x:c>
      <x:c r="C81" s="60" t="str">
        <x:v>转介绍机制</x:v>
      </x:c>
      <x:c r="D81" s="60" t="str">
        <x:v>未公开核实</x:v>
      </x:c>
      <x:c r="E81" s="60" t="str">
        <x:v>S22</x:v>
      </x:c>
      <x:c r="F81" s="60" t="str">
        <x:v>未知</x:v>
      </x:c>
      <x:c r="G81" s="60" t="str">
        <x:v>已检查官网/公开产品/活动资料；具体缺口见证据缺口表</x:v>
      </x:c>
    </x:row>
    <x:row r="82" ht="36" customHeight="1">
      <x:c r="A82" s="60" t="str">
        <x:v>京城俱乐部</x:v>
      </x:c>
      <x:c r="B82" s="60" t="str">
        <x:v>获客</x:v>
      </x:c>
      <x:c r="C82" s="60" t="str">
        <x:v>获客成本</x:v>
      </x:c>
      <x:c r="D82" s="60" t="str">
        <x:v>未公开核实</x:v>
      </x:c>
      <x:c r="E82" s="60" t="str">
        <x:v>S22</x:v>
      </x:c>
      <x:c r="F82" s="60" t="str">
        <x:v>未知</x:v>
      </x:c>
      <x:c r="G82" s="60" t="str">
        <x:v>已检查官网/公开产品/活动资料；具体缺口见证据缺口表</x:v>
      </x:c>
    </x:row>
    <x:row r="83" ht="36" customHeight="1">
      <x:c r="A83" s="60" t="str">
        <x:v>京城俱乐部</x:v>
      </x:c>
      <x:c r="B83" s="60" t="str">
        <x:v>获客</x:v>
      </x:c>
      <x:c r="C83" s="60" t="str">
        <x:v>转化率</x:v>
      </x:c>
      <x:c r="D83" s="60" t="str">
        <x:v>未公开核实</x:v>
      </x:c>
      <x:c r="E83" s="60" t="str">
        <x:v>S22</x:v>
      </x:c>
      <x:c r="F83" s="60" t="str">
        <x:v>未知</x:v>
      </x:c>
      <x:c r="G83" s="60" t="str">
        <x:v>已检查官网/公开产品/活动资料；具体缺口见证据缺口表</x:v>
      </x:c>
    </x:row>
    <x:row r="84" ht="36" customHeight="1">
      <x:c r="A84" s="60" t="str">
        <x:v>京城俱乐部</x:v>
      </x:c>
      <x:c r="B84" s="60" t="str">
        <x:v>活动</x:v>
      </x:c>
      <x:c r="C84" s="60" t="str">
        <x:v>主题与地点</x:v>
      </x:c>
      <x:c r="D84" s="60" t="str">
        <x:v>新春会员活动 北京；合作会面另列</x:v>
      </x:c>
      <x:c r="E84" s="60" t="str">
        <x:v>S26 S27</x:v>
      </x:c>
      <x:c r="F84" s="60" t="str">
        <x:v>已找到部分证据</x:v>
      </x:c>
      <x:c r="G84" s="60" t="str">
        <x:v>已检查官网/公开产品/活动资料；具体缺口见证据缺口表</x:v>
      </x:c>
    </x:row>
    <x:row r="85" ht="36" customHeight="1">
      <x:c r="A85" s="60" t="str">
        <x:v>京城俱乐部</x:v>
      </x:c>
      <x:c r="B85" s="60" t="str">
        <x:v>活动</x:v>
      </x:c>
      <x:c r="C85" s="60" t="str">
        <x:v>时长及人数</x:v>
      </x:c>
      <x:c r="D85" s="60" t="str">
        <x:v>未公开核实</x:v>
      </x:c>
      <x:c r="E85" s="60" t="str">
        <x:v>S22</x:v>
      </x:c>
      <x:c r="F85" s="60" t="str">
        <x:v>未知</x:v>
      </x:c>
      <x:c r="G85" s="60" t="str">
        <x:v>已检查官网/公开产品/活动资料；具体缺口见证据缺口表</x:v>
      </x:c>
    </x:row>
    <x:row r="86" ht="36" customHeight="1">
      <x:c r="A86" s="60" t="str">
        <x:v>京城俱乐部</x:v>
      </x:c>
      <x:c r="B86" s="60" t="str">
        <x:v>活动</x:v>
      </x:c>
      <x:c r="C86" s="60" t="str">
        <x:v>招募筛选</x:v>
      </x:c>
      <x:c r="D86" s="60" t="str">
        <x:v>未公开核实</x:v>
      </x:c>
      <x:c r="E86" s="60" t="str">
        <x:v>S22</x:v>
      </x:c>
      <x:c r="F86" s="60" t="str">
        <x:v>未知</x:v>
      </x:c>
      <x:c r="G86" s="60" t="str">
        <x:v>已检查官网/公开产品/活动资料；具体缺口见证据缺口表</x:v>
      </x:c>
    </x:row>
    <x:row r="87" ht="36" customHeight="1">
      <x:c r="A87" s="60" t="str">
        <x:v>京城俱乐部</x:v>
      </x:c>
      <x:c r="B87" s="60" t="str">
        <x:v>活动</x:v>
      </x:c>
      <x:c r="C87" s="60" t="str">
        <x:v>行前沟通</x:v>
      </x:c>
      <x:c r="D87" s="60" t="str">
        <x:v>未公开核实</x:v>
      </x:c>
      <x:c r="E87" s="60" t="str">
        <x:v>S22</x:v>
      </x:c>
      <x:c r="F87" s="60" t="str">
        <x:v>未知</x:v>
      </x:c>
      <x:c r="G87" s="60" t="str">
        <x:v>已检查官网/公开产品/活动资料；具体缺口见证据缺口表</x:v>
      </x:c>
    </x:row>
    <x:row r="88" ht="36" customHeight="1">
      <x:c r="A88" s="60" t="str">
        <x:v>京城俱乐部</x:v>
      </x:c>
      <x:c r="B88" s="60" t="str">
        <x:v>活动</x:v>
      </x:c>
      <x:c r="C88" s="60" t="str">
        <x:v>签到</x:v>
      </x:c>
      <x:c r="D88" s="60" t="str">
        <x:v>未公开核实</x:v>
      </x:c>
      <x:c r="E88" s="60" t="str">
        <x:v>S22</x:v>
      </x:c>
      <x:c r="F88" s="60" t="str">
        <x:v>未知</x:v>
      </x:c>
      <x:c r="G88" s="60" t="str">
        <x:v>已检查官网/公开产品/活动资料；具体缺口见证据缺口表</x:v>
      </x:c>
    </x:row>
    <x:row r="89" ht="36" customHeight="1">
      <x:c r="A89" s="60" t="str">
        <x:v>京城俱乐部</x:v>
      </x:c>
      <x:c r="B89" s="60" t="str">
        <x:v>活动</x:v>
      </x:c>
      <x:c r="C89" s="60" t="str">
        <x:v>破冰</x:v>
      </x:c>
      <x:c r="D89" s="60" t="str">
        <x:v>未公开核实</x:v>
      </x:c>
      <x:c r="E89" s="60" t="str">
        <x:v>S22</x:v>
      </x:c>
      <x:c r="F89" s="60" t="str">
        <x:v>未知</x:v>
      </x:c>
      <x:c r="G89" s="60" t="str">
        <x:v>已检查官网/公开产品/活动资料；具体缺口见证据缺口表</x:v>
      </x:c>
    </x:row>
    <x:row r="90" ht="36" customHeight="1">
      <x:c r="A90" s="60" t="str">
        <x:v>京城俱乐部</x:v>
      </x:c>
      <x:c r="B90" s="60" t="str">
        <x:v>活动</x:v>
      </x:c>
      <x:c r="C90" s="60" t="str">
        <x:v>主体环节</x:v>
      </x:c>
      <x:c r="D90" s="60" t="str">
        <x:v>部分活动有致辞交流记录</x:v>
      </x:c>
      <x:c r="E90" s="60" t="str">
        <x:v>S26</x:v>
      </x:c>
      <x:c r="F90" s="60" t="str">
        <x:v>已找到部分证据</x:v>
      </x:c>
      <x:c r="G90" s="60" t="str">
        <x:v>已检查官网/公开产品/活动资料；具体缺口见证据缺口表</x:v>
      </x:c>
    </x:row>
    <x:row r="91" ht="36" customHeight="1">
      <x:c r="A91" s="60" t="str">
        <x:v>京城俱乐部</x:v>
      </x:c>
      <x:c r="B91" s="60" t="str">
        <x:v>活动</x:v>
      </x:c>
      <x:c r="C91" s="60" t="str">
        <x:v>自由交流</x:v>
      </x:c>
      <x:c r="D91" s="60" t="str">
        <x:v>未公开核实</x:v>
      </x:c>
      <x:c r="E91" s="60" t="str">
        <x:v>S22</x:v>
      </x:c>
      <x:c r="F91" s="60" t="str">
        <x:v>未知</x:v>
      </x:c>
      <x:c r="G91" s="60" t="str">
        <x:v>已检查官网/公开产品/活动资料；具体缺口见证据缺口表</x:v>
      </x:c>
    </x:row>
    <x:row r="92" ht="36" customHeight="1">
      <x:c r="A92" s="60" t="str">
        <x:v>京城俱乐部</x:v>
      </x:c>
      <x:c r="B92" s="60" t="str">
        <x:v>活动</x:v>
      </x:c>
      <x:c r="C92" s="60" t="str">
        <x:v>回访</x:v>
      </x:c>
      <x:c r="D92" s="60" t="str">
        <x:v>未公开核实</x:v>
      </x:c>
      <x:c r="E92" s="60" t="str">
        <x:v>S22</x:v>
      </x:c>
      <x:c r="F92" s="60" t="str">
        <x:v>未知</x:v>
      </x:c>
      <x:c r="G92" s="60" t="str">
        <x:v>已检查官网/公开产品/活动资料；具体缺口见证据缺口表</x:v>
      </x:c>
    </x:row>
    <x:row r="93" ht="36" customHeight="1">
      <x:c r="A93" s="60" t="str">
        <x:v>京城俱乐部</x:v>
      </x:c>
      <x:c r="B93" s="60" t="str">
        <x:v>活动</x:v>
      </x:c>
      <x:c r="C93" s="60" t="str">
        <x:v>人员角色</x:v>
      </x:c>
      <x:c r="D93" s="60" t="str">
        <x:v>未公开核实</x:v>
      </x:c>
      <x:c r="E93" s="60" t="str">
        <x:v>S22</x:v>
      </x:c>
      <x:c r="F93" s="60" t="str">
        <x:v>未知</x:v>
      </x:c>
      <x:c r="G93" s="60" t="str">
        <x:v>已检查官网/公开产品/活动资料；具体缺口见证据缺口表</x:v>
      </x:c>
    </x:row>
    <x:row r="94" ht="36" customHeight="1">
      <x:c r="A94" s="60" t="str">
        <x:v>京城俱乐部</x:v>
      </x:c>
      <x:c r="B94" s="60" t="str">
        <x:v>活动</x:v>
      </x:c>
      <x:c r="C94" s="60" t="str">
        <x:v>供应商</x:v>
      </x:c>
      <x:c r="D94" s="60" t="str">
        <x:v>未公开核实</x:v>
      </x:c>
      <x:c r="E94" s="60" t="str">
        <x:v>S22</x:v>
      </x:c>
      <x:c r="F94" s="60" t="str">
        <x:v>未知</x:v>
      </x:c>
      <x:c r="G94" s="60" t="str">
        <x:v>已检查官网/公开产品/活动资料；具体缺口见证据缺口表</x:v>
      </x:c>
    </x:row>
    <x:row r="95" ht="36" customHeight="1">
      <x:c r="A95" s="60" t="str">
        <x:v>京城俱乐部</x:v>
      </x:c>
      <x:c r="B95" s="60" t="str">
        <x:v>活动</x:v>
      </x:c>
      <x:c r="C95" s="60" t="str">
        <x:v>异常投诉</x:v>
      </x:c>
      <x:c r="D95" s="60" t="str">
        <x:v>未公开核实</x:v>
      </x:c>
      <x:c r="E95" s="60" t="str">
        <x:v>S22</x:v>
      </x:c>
      <x:c r="F95" s="60" t="str">
        <x:v>未知</x:v>
      </x:c>
      <x:c r="G95" s="60" t="str">
        <x:v>已检查官网/公开产品/活动资料；具体缺口见证据缺口表</x:v>
      </x:c>
    </x:row>
    <x:row r="96" ht="36" customHeight="1">
      <x:c r="A96" s="60" t="str">
        <x:v>京城俱乐部</x:v>
      </x:c>
      <x:c r="B96" s="60" t="str">
        <x:v>用户活跃</x:v>
      </x:c>
      <x:c r="C96" s="60" t="str">
        <x:v>粉丝数</x:v>
      </x:c>
      <x:c r="D96" s="60" t="str">
        <x:v>未公开核实</x:v>
      </x:c>
      <x:c r="E96" s="60" t="str">
        <x:v>S22</x:v>
      </x:c>
      <x:c r="F96" s="60" t="str">
        <x:v>未知</x:v>
      </x:c>
      <x:c r="G96" s="60" t="str">
        <x:v>已检查官网/公开产品/活动资料；具体缺口见证据缺口表</x:v>
      </x:c>
    </x:row>
    <x:row r="97" ht="36" customHeight="1">
      <x:c r="A97" s="60" t="str">
        <x:v>京城俱乐部</x:v>
      </x:c>
      <x:c r="B97" s="60" t="str">
        <x:v>用户活跃</x:v>
      </x:c>
      <x:c r="C97" s="60" t="str">
        <x:v>社群人数</x:v>
      </x:c>
      <x:c r="D97" s="60" t="str">
        <x:v>未公开核实</x:v>
      </x:c>
      <x:c r="E97" s="60" t="str">
        <x:v>S22</x:v>
      </x:c>
      <x:c r="F97" s="60" t="str">
        <x:v>未知</x:v>
      </x:c>
      <x:c r="G97" s="60" t="str">
        <x:v>已检查官网/公开产品/活动资料；具体缺口见证据缺口表</x:v>
      </x:c>
    </x:row>
    <x:row r="98" ht="36" customHeight="1">
      <x:c r="A98" s="60" t="str">
        <x:v>京城俱乐部</x:v>
      </x:c>
      <x:c r="B98" s="60" t="str">
        <x:v>用户活跃</x:v>
      </x:c>
      <x:c r="C98" s="60" t="str">
        <x:v>累计人数</x:v>
      </x:c>
      <x:c r="D98" s="60" t="str">
        <x:v>未公开核实</x:v>
      </x:c>
      <x:c r="E98" s="60" t="str">
        <x:v>S22</x:v>
      </x:c>
      <x:c r="F98" s="60" t="str">
        <x:v>未知</x:v>
      </x:c>
      <x:c r="G98" s="60" t="str">
        <x:v>已检查官网/公开产品/活动资料；具体缺口见证据缺口表</x:v>
      </x:c>
    </x:row>
    <x:row r="99" ht="36" customHeight="1">
      <x:c r="A99" s="60" t="str">
        <x:v>京城俱乐部</x:v>
      </x:c>
      <x:c r="B99" s="60" t="str">
        <x:v>用户活跃</x:v>
      </x:c>
      <x:c r="C99" s="60" t="str">
        <x:v>有效付费会员</x:v>
      </x:c>
      <x:c r="D99" s="60" t="str">
        <x:v>未公开核实</x:v>
      </x:c>
      <x:c r="E99" s="60" t="str">
        <x:v>S22</x:v>
      </x:c>
      <x:c r="F99" s="60" t="str">
        <x:v>未知</x:v>
      </x:c>
      <x:c r="G99" s="60" t="str">
        <x:v>已检查官网/公开产品/活动资料；具体缺口见证据缺口表</x:v>
      </x:c>
    </x:row>
    <x:row r="100" ht="36" customHeight="1">
      <x:c r="A100" s="60" t="str">
        <x:v>京城俱乐部</x:v>
      </x:c>
      <x:c r="B100" s="60" t="str">
        <x:v>用户活跃</x:v>
      </x:c>
      <x:c r="C100" s="60" t="str">
        <x:v>近90天活动数</x:v>
      </x:c>
      <x:c r="D100" s="60" t="str">
        <x:v>未公开核实</x:v>
      </x:c>
      <x:c r="E100" s="60" t="str">
        <x:v>S22</x:v>
      </x:c>
      <x:c r="F100" s="60" t="str">
        <x:v>未知</x:v>
      </x:c>
      <x:c r="G100" s="60" t="str">
        <x:v>已检查官网/公开产品/活动资料；具体缺口见证据缺口表</x:v>
      </x:c>
    </x:row>
    <x:row r="101" ht="36" customHeight="1">
      <x:c r="A101" s="60" t="str">
        <x:v>京城俱乐部</x:v>
      </x:c>
      <x:c r="B101" s="60" t="str">
        <x:v>用户活跃</x:v>
      </x:c>
      <x:c r="C101" s="60" t="str">
        <x:v>近12月活动数</x:v>
      </x:c>
      <x:c r="D101" s="60" t="str">
        <x:v>未公开核实</x:v>
      </x:c>
      <x:c r="E101" s="60" t="str">
        <x:v>S22</x:v>
      </x:c>
      <x:c r="F101" s="60" t="str">
        <x:v>未知</x:v>
      </x:c>
      <x:c r="G101" s="60" t="str">
        <x:v>已检查官网/公开产品/活动资料；具体缺口见证据缺口表</x:v>
      </x:c>
    </x:row>
    <x:row r="102" ht="36" customHeight="1">
      <x:c r="A102" s="60" t="str">
        <x:v>京城俱乐部</x:v>
      </x:c>
      <x:c r="B102" s="60" t="str">
        <x:v>用户活跃</x:v>
      </x:c>
      <x:c r="C102" s="60" t="str">
        <x:v>到场</x:v>
      </x:c>
      <x:c r="D102" s="60" t="str">
        <x:v>2026-02-06报道百余人含嘉宾</x:v>
      </x:c>
      <x:c r="E102" s="60" t="str">
        <x:v>S26</x:v>
      </x:c>
      <x:c r="F102" s="60" t="str">
        <x:v>已找到部分证据</x:v>
      </x:c>
      <x:c r="G102" s="60" t="str">
        <x:v>已检查官网/公开产品/活动资料；具体缺口见证据缺口表</x:v>
      </x:c>
    </x:row>
    <x:row r="103" ht="36" customHeight="1">
      <x:c r="A103" s="60" t="str">
        <x:v>京城俱乐部</x:v>
      </x:c>
      <x:c r="B103" s="60" t="str">
        <x:v>用户活跃</x:v>
      </x:c>
      <x:c r="C103" s="60" t="str">
        <x:v>复购</x:v>
      </x:c>
      <x:c r="D103" s="60" t="str">
        <x:v>未公开核实</x:v>
      </x:c>
      <x:c r="E103" s="60" t="str">
        <x:v>S22</x:v>
      </x:c>
      <x:c r="F103" s="60" t="str">
        <x:v>未知</x:v>
      </x:c>
      <x:c r="G103" s="60" t="str">
        <x:v>已检查官网/公开产品/活动资料；具体缺口见证据缺口表</x:v>
      </x:c>
    </x:row>
    <x:row r="104" ht="36" customHeight="1">
      <x:c r="A104" s="60" t="str">
        <x:v>京城俱乐部</x:v>
      </x:c>
      <x:c r="B104" s="60" t="str">
        <x:v>用户活跃</x:v>
      </x:c>
      <x:c r="C104" s="60" t="str">
        <x:v>活跃率</x:v>
      </x:c>
      <x:c r="D104" s="60" t="str">
        <x:v>未公开核实</x:v>
      </x:c>
      <x:c r="E104" s="60" t="str">
        <x:v>S22</x:v>
      </x:c>
      <x:c r="F104" s="60" t="str">
        <x:v>未知</x:v>
      </x:c>
      <x:c r="G104" s="60" t="str">
        <x:v>已检查官网/公开产品/活动资料；具体缺口见证据缺口表</x:v>
      </x:c>
    </x:row>
    <x:row r="105" ht="36" customHeight="1">
      <x:c r="A105" s="60" t="str">
        <x:v>京城俱乐部</x:v>
      </x:c>
      <x:c r="B105" s="60" t="str">
        <x:v>用户活跃</x:v>
      </x:c>
      <x:c r="C105" s="60" t="str">
        <x:v>续费率</x:v>
      </x:c>
      <x:c r="D105" s="60" t="str">
        <x:v>未公开核实</x:v>
      </x:c>
      <x:c r="E105" s="60" t="str">
        <x:v>S22</x:v>
      </x:c>
      <x:c r="F105" s="60" t="str">
        <x:v>未知</x:v>
      </x:c>
      <x:c r="G105" s="60" t="str">
        <x:v>已检查官网/公开产品/活动资料；具体缺口见证据缺口表</x:v>
      </x:c>
    </x:row>
    <x:row r="106" ht="36" customHeight="1">
      <x:c r="A106" s="60" t="str">
        <x:v>京城俱乐部</x:v>
      </x:c>
      <x:c r="B106" s="60" t="str">
        <x:v>用户活跃</x:v>
      </x:c>
      <x:c r="C106" s="60" t="str">
        <x:v>转介绍</x:v>
      </x:c>
      <x:c r="D106" s="60" t="str">
        <x:v>未公开核实</x:v>
      </x:c>
      <x:c r="E106" s="60" t="str">
        <x:v>S22</x:v>
      </x:c>
      <x:c r="F106" s="60" t="str">
        <x:v>未知</x:v>
      </x:c>
      <x:c r="G106" s="60" t="str">
        <x:v>已检查官网/公开产品/活动资料；具体缺口见证据缺口表</x:v>
      </x:c>
    </x:row>
    <x:row r="107" ht="36" customHeight="1">
      <x:c r="A107" s="60" t="str">
        <x:v>伟事达中国</x:v>
      </x:c>
      <x:c r="B107" s="60" t="str">
        <x:v>价格</x:v>
      </x:c>
      <x:c r="C107" s="60" t="str">
        <x:v>入会费</x:v>
      </x:c>
      <x:c r="D107" s="60" t="str">
        <x:v>未公开核实</x:v>
      </x:c>
      <x:c r="E107" s="60" t="str">
        <x:v>S28</x:v>
      </x:c>
      <x:c r="F107" s="60" t="str">
        <x:v>未知</x:v>
      </x:c>
      <x:c r="G107" s="60" t="str">
        <x:v>已检查官网/公开产品/活动资料；具体缺口见证据缺口表</x:v>
      </x:c>
    </x:row>
    <x:row r="108" ht="36" customHeight="1">
      <x:c r="A108" s="60" t="str">
        <x:v>伟事达中国</x:v>
      </x:c>
      <x:c r="B108" s="60" t="str">
        <x:v>价格</x:v>
      </x:c>
      <x:c r="C108" s="60" t="str">
        <x:v>审核费</x:v>
      </x:c>
      <x:c r="D108" s="60" t="str">
        <x:v>未公开核实</x:v>
      </x:c>
      <x:c r="E108" s="60" t="str">
        <x:v>S28</x:v>
      </x:c>
      <x:c r="F108" s="60" t="str">
        <x:v>未知</x:v>
      </x:c>
      <x:c r="G108" s="60" t="str">
        <x:v>已检查官网/公开产品/活动资料；具体缺口见证据缺口表</x:v>
      </x:c>
    </x:row>
    <x:row r="109" ht="36" customHeight="1">
      <x:c r="A109" s="60" t="str">
        <x:v>伟事达中国</x:v>
      </x:c>
      <x:c r="B109" s="60" t="str">
        <x:v>价格</x:v>
      </x:c>
      <x:c r="C109" s="60" t="str">
        <x:v>年费</x:v>
      </x:c>
      <x:c r="D109" s="60" t="str">
        <x:v>CE148000、SE96000、KE78000元 品牌页索引</x:v>
      </x:c>
      <x:c r="E109" s="60" t="str">
        <x:v>S28</x:v>
      </x:c>
      <x:c r="F109" s="60" t="str">
        <x:v>已找到部分证据</x:v>
      </x:c>
      <x:c r="G109" s="60" t="str">
        <x:v>已检查官网/公开产品/活动资料；具体缺口见证据缺口表</x:v>
      </x:c>
    </x:row>
    <x:row r="110" ht="36" customHeight="1">
      <x:c r="A110" s="60" t="str">
        <x:v>伟事达中国</x:v>
      </x:c>
      <x:c r="B110" s="60" t="str">
        <x:v>价格</x:v>
      </x:c>
      <x:c r="C110" s="60" t="str">
        <x:v>首次注册费</x:v>
      </x:c>
      <x:c r="D110" s="60" t="str">
        <x:v>CE及SE3000元；KE免注册 需合同确认</x:v>
      </x:c>
      <x:c r="E110" s="60" t="str">
        <x:v>S28</x:v>
      </x:c>
      <x:c r="F110" s="60" t="str">
        <x:v>已找到部分证据</x:v>
      </x:c>
      <x:c r="G110" s="60" t="str">
        <x:v>已检查官网/公开产品/活动资料；具体缺口见证据缺口表</x:v>
      </x:c>
    </x:row>
    <x:row r="111" ht="36" customHeight="1">
      <x:c r="A111" s="60" t="str">
        <x:v>伟事达中国</x:v>
      </x:c>
      <x:c r="B111" s="60" t="str">
        <x:v>价格</x:v>
      </x:c>
      <x:c r="C111" s="60" t="str">
        <x:v>续费价格</x:v>
      </x:c>
      <x:c r="D111" s="60" t="str">
        <x:v>未公开核实</x:v>
      </x:c>
      <x:c r="E111" s="60" t="str">
        <x:v>S28</x:v>
      </x:c>
      <x:c r="F111" s="60" t="str">
        <x:v>未知</x:v>
      </x:c>
      <x:c r="G111" s="60" t="str">
        <x:v>已检查官网/公开产品/活动资料；具体缺口见证据缺口表</x:v>
      </x:c>
    </x:row>
    <x:row r="112" ht="36" customHeight="1">
      <x:c r="A112" s="60" t="str">
        <x:v>伟事达中国</x:v>
      </x:c>
      <x:c r="B112" s="60" t="str">
        <x:v>价格</x:v>
      </x:c>
      <x:c r="C112" s="60" t="str">
        <x:v>服务期限</x:v>
      </x:c>
      <x:c r="D112" s="60" t="str">
        <x:v>按年报价；具体合同起止未知</x:v>
      </x:c>
      <x:c r="E112" s="60" t="str">
        <x:v>S28</x:v>
      </x:c>
      <x:c r="F112" s="60" t="str">
        <x:v>已找到部分证据</x:v>
      </x:c>
      <x:c r="G112" s="60" t="str">
        <x:v>已检查官网/公开产品/活动资料；具体缺口见证据缺口表</x:v>
      </x:c>
    </x:row>
    <x:row r="113" ht="36" customHeight="1">
      <x:c r="A113" s="60" t="str">
        <x:v>伟事达中国</x:v>
      </x:c>
      <x:c r="B113" s="60" t="str">
        <x:v>价格</x:v>
      </x:c>
      <x:c r="C113" s="60" t="str">
        <x:v>自动续费</x:v>
      </x:c>
      <x:c r="D113" s="60" t="str">
        <x:v>未公开核实</x:v>
      </x:c>
      <x:c r="E113" s="60" t="str">
        <x:v>S28</x:v>
      </x:c>
      <x:c r="F113" s="60" t="str">
        <x:v>未知</x:v>
      </x:c>
      <x:c r="G113" s="60" t="str">
        <x:v>已检查官网/公开产品/活动资料；具体缺口见证据缺口表</x:v>
      </x:c>
    </x:row>
    <x:row r="114" ht="36" customHeight="1">
      <x:c r="A114" s="60" t="str">
        <x:v>伟事达中国</x:v>
      </x:c>
      <x:c r="B114" s="60" t="str">
        <x:v>价格</x:v>
      </x:c>
      <x:c r="C114" s="60" t="str">
        <x:v>会员等级价格</x:v>
      </x:c>
      <x:c r="D114" s="60" t="str">
        <x:v>CE Plus158000元起；VI定制</x:v>
      </x:c>
      <x:c r="E114" s="60" t="str">
        <x:v>S28</x:v>
      </x:c>
      <x:c r="F114" s="60" t="str">
        <x:v>已找到部分证据</x:v>
      </x:c>
      <x:c r="G114" s="60" t="str">
        <x:v>已检查官网/公开产品/活动资料；具体缺口见证据缺口表</x:v>
      </x:c>
    </x:row>
    <x:row r="115" ht="36" customHeight="1">
      <x:c r="A115" s="60" t="str">
        <x:v>伟事达中国</x:v>
      </x:c>
      <x:c r="B115" s="60" t="str">
        <x:v>价格</x:v>
      </x:c>
      <x:c r="C115" s="60" t="str">
        <x:v>升级规则</x:v>
      </x:c>
      <x:c r="D115" s="60" t="str">
        <x:v>未公开核实</x:v>
      </x:c>
      <x:c r="E115" s="60" t="str">
        <x:v>S28</x:v>
      </x:c>
      <x:c r="F115" s="60" t="str">
        <x:v>未知</x:v>
      </x:c>
      <x:c r="G115" s="60" t="str">
        <x:v>已检查官网/公开产品/活动资料；具体缺口见证据缺口表</x:v>
      </x:c>
    </x:row>
    <x:row r="116" ht="36" customHeight="1">
      <x:c r="A116" s="60" t="str">
        <x:v>伟事达中国</x:v>
      </x:c>
      <x:c r="B116" s="60" t="str">
        <x:v>价格</x:v>
      </x:c>
      <x:c r="C116" s="60" t="str">
        <x:v>降级规则</x:v>
      </x:c>
      <x:c r="D116" s="60" t="str">
        <x:v>未公开核实</x:v>
      </x:c>
      <x:c r="E116" s="60" t="str">
        <x:v>S28</x:v>
      </x:c>
      <x:c r="F116" s="60" t="str">
        <x:v>未知</x:v>
      </x:c>
      <x:c r="G116" s="60" t="str">
        <x:v>已检查官网/公开产品/活动资料；具体缺口见证据缺口表</x:v>
      </x:c>
    </x:row>
    <x:row r="117" ht="36" customHeight="1">
      <x:c r="A117" s="60" t="str">
        <x:v>伟事达中国</x:v>
      </x:c>
      <x:c r="B117" s="60" t="str">
        <x:v>价格</x:v>
      </x:c>
      <x:c r="C117" s="60" t="str">
        <x:v>会员活动价</x:v>
      </x:c>
      <x:c r="D117" s="60" t="str">
        <x:v>未公开核实</x:v>
      </x:c>
      <x:c r="E117" s="60" t="str">
        <x:v>S28</x:v>
      </x:c>
      <x:c r="F117" s="60" t="str">
        <x:v>未知</x:v>
      </x:c>
      <x:c r="G117" s="60" t="str">
        <x:v>已检查官网/公开产品/活动资料；具体缺口见证据缺口表</x:v>
      </x:c>
    </x:row>
    <x:row r="118" ht="36" customHeight="1">
      <x:c r="A118" s="60" t="str">
        <x:v>伟事达中国</x:v>
      </x:c>
      <x:c r="B118" s="60" t="str">
        <x:v>价格</x:v>
      </x:c>
      <x:c r="C118" s="60" t="str">
        <x:v>非会员活动价</x:v>
      </x:c>
      <x:c r="D118" s="60" t="str">
        <x:v>未公开核实</x:v>
      </x:c>
      <x:c r="E118" s="60" t="str">
        <x:v>S28</x:v>
      </x:c>
      <x:c r="F118" s="60" t="str">
        <x:v>未知</x:v>
      </x:c>
      <x:c r="G118" s="60" t="str">
        <x:v>已检查官网/公开产品/活动资料；具体缺口见证据缺口表</x:v>
      </x:c>
    </x:row>
    <x:row r="119" ht="36" customHeight="1">
      <x:c r="A119" s="60" t="str">
        <x:v>伟事达中国</x:v>
      </x:c>
      <x:c r="B119" s="60" t="str">
        <x:v>价格</x:v>
      </x:c>
      <x:c r="C119" s="60" t="str">
        <x:v>体验价</x:v>
      </x:c>
      <x:c r="D119" s="60" t="str">
        <x:v>未公开核实</x:v>
      </x:c>
      <x:c r="E119" s="60" t="str">
        <x:v>S28</x:v>
      </x:c>
      <x:c r="F119" s="60" t="str">
        <x:v>未知</x:v>
      </x:c>
      <x:c r="G119" s="60" t="str">
        <x:v>已检查官网/公开产品/活动资料；具体缺口见证据缺口表</x:v>
      </x:c>
    </x:row>
    <x:row r="120" ht="36" customHeight="1">
      <x:c r="A120" s="60" t="str">
        <x:v>伟事达中国</x:v>
      </x:c>
      <x:c r="B120" s="60" t="str">
        <x:v>价格</x:v>
      </x:c>
      <x:c r="C120" s="60" t="str">
        <x:v>早鸟价</x:v>
      </x:c>
      <x:c r="D120" s="60" t="str">
        <x:v>未公开核实</x:v>
      </x:c>
      <x:c r="E120" s="60" t="str">
        <x:v>S28</x:v>
      </x:c>
      <x:c r="F120" s="60" t="str">
        <x:v>未知</x:v>
      </x:c>
      <x:c r="G120" s="60" t="str">
        <x:v>已检查官网/公开产品/活动资料；具体缺口见证据缺口表</x:v>
      </x:c>
    </x:row>
    <x:row r="121" ht="36" customHeight="1">
      <x:c r="A121" s="60" t="str">
        <x:v>伟事达中国</x:v>
      </x:c>
      <x:c r="B121" s="60" t="str">
        <x:v>价格</x:v>
      </x:c>
      <x:c r="C121" s="60" t="str">
        <x:v>带客价</x:v>
      </x:c>
      <x:c r="D121" s="60" t="str">
        <x:v>未公开核实</x:v>
      </x:c>
      <x:c r="E121" s="60" t="str">
        <x:v>S28</x:v>
      </x:c>
      <x:c r="F121" s="60" t="str">
        <x:v>未知</x:v>
      </x:c>
      <x:c r="G121" s="60" t="str">
        <x:v>已检查官网/公开产品/活动资料；具体缺口见证据缺口表</x:v>
      </x:c>
    </x:row>
    <x:row r="122" ht="36" customHeight="1">
      <x:c r="A122" s="60" t="str">
        <x:v>伟事达中国</x:v>
      </x:c>
      <x:c r="B122" s="60" t="str">
        <x:v>价格</x:v>
      </x:c>
      <x:c r="C122" s="60" t="str">
        <x:v>旅行价格</x:v>
      </x:c>
      <x:c r="D122" s="60" t="str">
        <x:v>未公开核实</x:v>
      </x:c>
      <x:c r="E122" s="60" t="str">
        <x:v>S28</x:v>
      </x:c>
      <x:c r="F122" s="60" t="str">
        <x:v>未知</x:v>
      </x:c>
      <x:c r="G122" s="60" t="str">
        <x:v>已检查官网/公开产品/活动资料；具体缺口见证据缺口表</x:v>
      </x:c>
    </x:row>
    <x:row r="123" ht="36" customHeight="1">
      <x:c r="A123" s="60" t="str">
        <x:v>伟事达中国</x:v>
      </x:c>
      <x:c r="B123" s="60" t="str">
        <x:v>价格</x:v>
      </x:c>
      <x:c r="C123" s="60" t="str">
        <x:v>旅行天数</x:v>
      </x:c>
      <x:c r="D123" s="60" t="str">
        <x:v>未公开核实</x:v>
      </x:c>
      <x:c r="E123" s="60" t="str">
        <x:v>S28</x:v>
      </x:c>
      <x:c r="F123" s="60" t="str">
        <x:v>未知</x:v>
      </x:c>
      <x:c r="G123" s="60" t="str">
        <x:v>已检查官网/公开产品/活动资料；具体缺口见证据缺口表</x:v>
      </x:c>
    </x:row>
    <x:row r="124" ht="36" customHeight="1">
      <x:c r="A124" s="60" t="str">
        <x:v>伟事达中国</x:v>
      </x:c>
      <x:c r="B124" s="60" t="str">
        <x:v>价格</x:v>
      </x:c>
      <x:c r="C124" s="60" t="str">
        <x:v>旅行人数</x:v>
      </x:c>
      <x:c r="D124" s="60" t="str">
        <x:v>未公开核实</x:v>
      </x:c>
      <x:c r="E124" s="60" t="str">
        <x:v>S28</x:v>
      </x:c>
      <x:c r="F124" s="60" t="str">
        <x:v>未知</x:v>
      </x:c>
      <x:c r="G124" s="60" t="str">
        <x:v>已检查官网/公开产品/活动资料；具体缺口见证据缺口表</x:v>
      </x:c>
    </x:row>
    <x:row r="125" ht="36" customHeight="1">
      <x:c r="A125" s="60" t="str">
        <x:v>伟事达中国</x:v>
      </x:c>
      <x:c r="B125" s="60" t="str">
        <x:v>价格</x:v>
      </x:c>
      <x:c r="C125" s="60" t="str">
        <x:v>住宿标准</x:v>
      </x:c>
      <x:c r="D125" s="60" t="str">
        <x:v>未公开核实</x:v>
      </x:c>
      <x:c r="E125" s="60" t="str">
        <x:v>S28</x:v>
      </x:c>
      <x:c r="F125" s="60" t="str">
        <x:v>未知</x:v>
      </x:c>
      <x:c r="G125" s="60" t="str">
        <x:v>已检查官网/公开产品/活动资料；具体缺口见证据缺口表</x:v>
      </x:c>
    </x:row>
    <x:row r="126" ht="36" customHeight="1">
      <x:c r="A126" s="60" t="str">
        <x:v>伟事达中国</x:v>
      </x:c>
      <x:c r="B126" s="60" t="str">
        <x:v>价格</x:v>
      </x:c>
      <x:c r="C126" s="60" t="str">
        <x:v>交通及机票</x:v>
      </x:c>
      <x:c r="D126" s="60" t="str">
        <x:v>未公开核实</x:v>
      </x:c>
      <x:c r="E126" s="60" t="str">
        <x:v>S28</x:v>
      </x:c>
      <x:c r="F126" s="60" t="str">
        <x:v>未知</x:v>
      </x:c>
      <x:c r="G126" s="60" t="str">
        <x:v>已检查官网/公开产品/活动资料；具体缺口见证据缺口表</x:v>
      </x:c>
    </x:row>
    <x:row r="127" ht="36" customHeight="1">
      <x:c r="A127" s="60" t="str">
        <x:v>伟事达中国</x:v>
      </x:c>
      <x:c r="B127" s="60" t="str">
        <x:v>价格</x:v>
      </x:c>
      <x:c r="C127" s="60" t="str">
        <x:v>私董会价格</x:v>
      </x:c>
      <x:c r="D127" s="60" t="str">
        <x:v>与年费同一产品，不重复计费</x:v>
      </x:c>
      <x:c r="E127" s="60" t="str">
        <x:v>S28</x:v>
      </x:c>
      <x:c r="F127" s="60" t="str">
        <x:v>已找到部分证据</x:v>
      </x:c>
      <x:c r="G127" s="60" t="str">
        <x:v>已检查官网/公开产品/活动资料；具体缺口见证据缺口表</x:v>
      </x:c>
    </x:row>
    <x:row r="128" ht="36" customHeight="1">
      <x:c r="A128" s="60" t="str">
        <x:v>伟事达中国</x:v>
      </x:c>
      <x:c r="B128" s="60" t="str">
        <x:v>价格</x:v>
      </x:c>
      <x:c r="C128" s="60" t="str">
        <x:v>参访价格</x:v>
      </x:c>
      <x:c r="D128" s="60" t="str">
        <x:v>未公开核实</x:v>
      </x:c>
      <x:c r="E128" s="60" t="str">
        <x:v>S28</x:v>
      </x:c>
      <x:c r="F128" s="60" t="str">
        <x:v>未知</x:v>
      </x:c>
      <x:c r="G128" s="60" t="str">
        <x:v>已检查官网/公开产品/活动资料；具体缺口见证据缺口表</x:v>
      </x:c>
    </x:row>
    <x:row r="129" ht="36" customHeight="1">
      <x:c r="A129" s="60" t="str">
        <x:v>伟事达中国</x:v>
      </x:c>
      <x:c r="B129" s="60" t="str">
        <x:v>价格</x:v>
      </x:c>
      <x:c r="C129" s="60" t="str">
        <x:v>导师配置</x:v>
      </x:c>
      <x:c r="D129" s="60" t="str">
        <x:v>教练、专家与同侪小组</x:v>
      </x:c>
      <x:c r="E129" s="60" t="str">
        <x:v>S28 S29</x:v>
      </x:c>
      <x:c r="F129" s="60" t="str">
        <x:v>已找到部分证据</x:v>
      </x:c>
      <x:c r="G129" s="60" t="str">
        <x:v>已检查官网/公开产品/活动资料；具体缺口见证据缺口表</x:v>
      </x:c>
    </x:row>
    <x:row r="130" ht="36" customHeight="1">
      <x:c r="A130" s="60" t="str">
        <x:v>伟事达中国</x:v>
      </x:c>
      <x:c r="B130" s="60" t="str">
        <x:v>价格</x:v>
      </x:c>
      <x:c r="C130" s="60" t="str">
        <x:v>婚恋服务期</x:v>
      </x:c>
      <x:c r="D130" s="60" t="str">
        <x:v>未公开核实</x:v>
      </x:c>
      <x:c r="E130" s="60" t="str">
        <x:v>S28</x:v>
      </x:c>
      <x:c r="F130" s="60" t="str">
        <x:v>未知</x:v>
      </x:c>
      <x:c r="G130" s="60" t="str">
        <x:v>已检查官网/公开产品/活动资料；具体缺口见证据缺口表</x:v>
      </x:c>
    </x:row>
    <x:row r="131" ht="36" customHeight="1">
      <x:c r="A131" s="60" t="str">
        <x:v>伟事达中国</x:v>
      </x:c>
      <x:c r="B131" s="60" t="str">
        <x:v>价格</x:v>
      </x:c>
      <x:c r="C131" s="60" t="str">
        <x:v>婚恋介绍次数</x:v>
      </x:c>
      <x:c r="D131" s="60" t="str">
        <x:v>未公开核实</x:v>
      </x:c>
      <x:c r="E131" s="60" t="str">
        <x:v>S28</x:v>
      </x:c>
      <x:c r="F131" s="60" t="str">
        <x:v>未知</x:v>
      </x:c>
      <x:c r="G131" s="60" t="str">
        <x:v>已检查官网/公开产品/活动资料；具体缺口见证据缺口表</x:v>
      </x:c>
    </x:row>
    <x:row r="132" ht="36" customHeight="1">
      <x:c r="A132" s="60" t="str">
        <x:v>伟事达中国</x:v>
      </x:c>
      <x:c r="B132" s="60" t="str">
        <x:v>价格</x:v>
      </x:c>
      <x:c r="C132" s="60" t="str">
        <x:v>婚恋匹配范围</x:v>
      </x:c>
      <x:c r="D132" s="60" t="str">
        <x:v>未公开核实</x:v>
      </x:c>
      <x:c r="E132" s="60" t="str">
        <x:v>S28</x:v>
      </x:c>
      <x:c r="F132" s="60" t="str">
        <x:v>未知</x:v>
      </x:c>
      <x:c r="G132" s="60" t="str">
        <x:v>已检查官网/公开产品/活动资料；具体缺口见证据缺口表</x:v>
      </x:c>
    </x:row>
    <x:row r="133" ht="36" customHeight="1">
      <x:c r="A133" s="60" t="str">
        <x:v>伟事达中国</x:v>
      </x:c>
      <x:c r="B133" s="60" t="str">
        <x:v>价格</x:v>
      </x:c>
      <x:c r="C133" s="60" t="str">
        <x:v>顾问服务</x:v>
      </x:c>
      <x:c r="D133" s="60" t="str">
        <x:v>未公开核实</x:v>
      </x:c>
      <x:c r="E133" s="60" t="str">
        <x:v>S28</x:v>
      </x:c>
      <x:c r="F133" s="60" t="str">
        <x:v>未知</x:v>
      </x:c>
      <x:c r="G133" s="60" t="str">
        <x:v>已检查官网/公开产品/活动资料；具体缺口见证据缺口表</x:v>
      </x:c>
    </x:row>
    <x:row r="134" ht="36" customHeight="1">
      <x:c r="A134" s="60" t="str">
        <x:v>伟事达中国</x:v>
      </x:c>
      <x:c r="B134" s="60" t="str">
        <x:v>价格</x:v>
      </x:c>
      <x:c r="C134" s="60" t="str">
        <x:v>伴侣价格</x:v>
      </x:c>
      <x:c r="D134" s="60" t="str">
        <x:v>未公开核实</x:v>
      </x:c>
      <x:c r="E134" s="60" t="str">
        <x:v>S28</x:v>
      </x:c>
      <x:c r="F134" s="60" t="str">
        <x:v>未知</x:v>
      </x:c>
      <x:c r="G134" s="60" t="str">
        <x:v>已检查官网/公开产品/活动资料；具体缺口见证据缺口表</x:v>
      </x:c>
    </x:row>
    <x:row r="135" ht="36" customHeight="1">
      <x:c r="A135" s="60" t="str">
        <x:v>伟事达中国</x:v>
      </x:c>
      <x:c r="B135" s="60" t="str">
        <x:v>价格</x:v>
      </x:c>
      <x:c r="C135" s="60" t="str">
        <x:v>家庭价格</x:v>
      </x:c>
      <x:c r="D135" s="60" t="str">
        <x:v>未公开核实</x:v>
      </x:c>
      <x:c r="E135" s="60" t="str">
        <x:v>S28</x:v>
      </x:c>
      <x:c r="F135" s="60" t="str">
        <x:v>未知</x:v>
      </x:c>
      <x:c r="G135" s="60" t="str">
        <x:v>已检查官网/公开产品/活动资料；具体缺口见证据缺口表</x:v>
      </x:c>
    </x:row>
    <x:row r="136" ht="36" customHeight="1">
      <x:c r="A136" s="60" t="str">
        <x:v>伟事达中国</x:v>
      </x:c>
      <x:c r="B136" s="60" t="str">
        <x:v>价格</x:v>
      </x:c>
      <x:c r="C136" s="60" t="str">
        <x:v>退款规则</x:v>
      </x:c>
      <x:c r="D136" s="60" t="str">
        <x:v>未公开核实</x:v>
      </x:c>
      <x:c r="E136" s="60" t="str">
        <x:v>S28</x:v>
      </x:c>
      <x:c r="F136" s="60" t="str">
        <x:v>未知</x:v>
      </x:c>
      <x:c r="G136" s="60" t="str">
        <x:v>已检查官网/公开产品/活动资料；具体缺口见证据缺口表</x:v>
      </x:c>
    </x:row>
    <x:row r="137" ht="36" customHeight="1">
      <x:c r="A137" s="60" t="str">
        <x:v>伟事达中国</x:v>
      </x:c>
      <x:c r="B137" s="60" t="str">
        <x:v>价格</x:v>
      </x:c>
      <x:c r="C137" s="60" t="str">
        <x:v>取消规则</x:v>
      </x:c>
      <x:c r="D137" s="60" t="str">
        <x:v>未公开核实</x:v>
      </x:c>
      <x:c r="E137" s="60" t="str">
        <x:v>S28</x:v>
      </x:c>
      <x:c r="F137" s="60" t="str">
        <x:v>未知</x:v>
      </x:c>
      <x:c r="G137" s="60" t="str">
        <x:v>已检查官网/公开产品/活动资料；具体缺口见证据缺口表</x:v>
      </x:c>
    </x:row>
    <x:row r="138" ht="36" customHeight="1">
      <x:c r="A138" s="60" t="str">
        <x:v>伟事达中国</x:v>
      </x:c>
      <x:c r="B138" s="60" t="str">
        <x:v>价格</x:v>
      </x:c>
      <x:c r="C138" s="60" t="str">
        <x:v>转让规则</x:v>
      </x:c>
      <x:c r="D138" s="60" t="str">
        <x:v>未公开核实</x:v>
      </x:c>
      <x:c r="E138" s="60" t="str">
        <x:v>S28</x:v>
      </x:c>
      <x:c r="F138" s="60" t="str">
        <x:v>未知</x:v>
      </x:c>
      <x:c r="G138" s="60" t="str">
        <x:v>已检查官网/公开产品/活动资料；具体缺口见证据缺口表</x:v>
      </x:c>
    </x:row>
    <x:row r="139" ht="36" customHeight="1">
      <x:c r="A139" s="60" t="str">
        <x:v>伟事达中国</x:v>
      </x:c>
      <x:c r="B139" s="60" t="str">
        <x:v>价格</x:v>
      </x:c>
      <x:c r="C139" s="60" t="str">
        <x:v>价格变化</x:v>
      </x:c>
      <x:c r="D139" s="60" t="str">
        <x:v>未公开核实</x:v>
      </x:c>
      <x:c r="E139" s="60" t="str">
        <x:v>S28</x:v>
      </x:c>
      <x:c r="F139" s="60" t="str">
        <x:v>未知</x:v>
      </x:c>
      <x:c r="G139" s="60" t="str">
        <x:v>已检查官网/公开产品/活动资料；具体缺口见证据缺口表</x:v>
      </x:c>
    </x:row>
    <x:row r="140" ht="36" customHeight="1">
      <x:c r="A140" s="60" t="str">
        <x:v>伟事达中国</x:v>
      </x:c>
      <x:c r="B140" s="60" t="str">
        <x:v>产品</x:v>
      </x:c>
      <x:c r="C140" s="60" t="str">
        <x:v>产品类别</x:v>
      </x:c>
      <x:c r="D140" s="60" t="str">
        <x:v>CE SE KE VI</x:v>
      </x:c>
      <x:c r="E140" s="60" t="str">
        <x:v>S28</x:v>
      </x:c>
      <x:c r="F140" s="60" t="str">
        <x:v>已找到部分证据</x:v>
      </x:c>
      <x:c r="G140" s="60" t="str">
        <x:v>已检查官网/公开产品/活动资料；具体缺口见证据缺口表</x:v>
      </x:c>
    </x:row>
    <x:row r="141" ht="36" customHeight="1">
      <x:c r="A141" s="60" t="str">
        <x:v>伟事达中国</x:v>
      </x:c>
      <x:c r="B141" s="60" t="str">
        <x:v>产品</x:v>
      </x:c>
      <x:c r="C141" s="60" t="str">
        <x:v>核心需求</x:v>
      </x:c>
      <x:c r="D141" s="60" t="str">
        <x:v>同侪决策支持与个人成长 定位</x:v>
      </x:c>
      <x:c r="E141" s="60" t="str">
        <x:v>S29</x:v>
      </x:c>
      <x:c r="F141" s="60" t="str">
        <x:v>已找到部分证据</x:v>
      </x:c>
      <x:c r="G141" s="60" t="str">
        <x:v>已检查官网/公开产品/活动资料；具体缺口见证据缺口表</x:v>
      </x:c>
    </x:row>
    <x:row r="142" ht="36" customHeight="1">
      <x:c r="A142" s="60" t="str">
        <x:v>伟事达中国</x:v>
      </x:c>
      <x:c r="B142" s="60" t="str">
        <x:v>产品</x:v>
      </x:c>
      <x:c r="C142" s="60" t="str">
        <x:v>对外承诺</x:v>
      </x:c>
      <x:c r="D142" s="60" t="str">
        <x:v>未公开核实</x:v>
      </x:c>
      <x:c r="E142" s="60" t="str">
        <x:v>S28</x:v>
      </x:c>
      <x:c r="F142" s="60" t="str">
        <x:v>未知</x:v>
      </x:c>
      <x:c r="G142" s="60" t="str">
        <x:v>已检查官网/公开产品/活动资料；具体缺口见证据缺口表</x:v>
      </x:c>
    </x:row>
    <x:row r="143" ht="36" customHeight="1">
      <x:c r="A143" s="60" t="str">
        <x:v>伟事达中国</x:v>
      </x:c>
      <x:c r="B143" s="60" t="str">
        <x:v>产品</x:v>
      </x:c>
      <x:c r="C143" s="60" t="str">
        <x:v>收费模式</x:v>
      </x:c>
      <x:c r="D143" s="60" t="str">
        <x:v>分层年费及企业定制</x:v>
      </x:c>
      <x:c r="E143" s="60" t="str">
        <x:v>S28</x:v>
      </x:c>
      <x:c r="F143" s="60" t="str">
        <x:v>已找到部分证据</x:v>
      </x:c>
      <x:c r="G143" s="60" t="str">
        <x:v>已检查官网/公开产品/活动资料；具体缺口见证据缺口表</x:v>
      </x:c>
    </x:row>
    <x:row r="144" ht="36" customHeight="1">
      <x:c r="A144" s="60" t="str">
        <x:v>伟事达中国</x:v>
      </x:c>
      <x:c r="B144" s="60" t="str">
        <x:v>产品</x:v>
      </x:c>
      <x:c r="C144" s="60" t="str">
        <x:v>服务频次</x:v>
      </x:c>
      <x:c r="D144" s="60" t="str">
        <x:v>CE5—6次两天会议；SE9次一天；KE12天</x:v>
      </x:c>
      <x:c r="E144" s="60" t="str">
        <x:v>S28</x:v>
      </x:c>
      <x:c r="F144" s="60" t="str">
        <x:v>已找到部分证据</x:v>
      </x:c>
      <x:c r="G144" s="60" t="str">
        <x:v>已检查官网/公开产品/活动资料；具体缺口见证据缺口表</x:v>
      </x:c>
    </x:row>
    <x:row r="145" ht="36" customHeight="1">
      <x:c r="A145" s="60" t="str">
        <x:v>伟事达中国</x:v>
      </x:c>
      <x:c r="B145" s="60" t="str">
        <x:v>产品</x:v>
      </x:c>
      <x:c r="C145" s="60" t="str">
        <x:v>线上线下比例</x:v>
      </x:c>
      <x:c r="D145" s="60" t="str">
        <x:v>未公开核实</x:v>
      </x:c>
      <x:c r="E145" s="60" t="str">
        <x:v>S28</x:v>
      </x:c>
      <x:c r="F145" s="60" t="str">
        <x:v>未知</x:v>
      </x:c>
      <x:c r="G145" s="60" t="str">
        <x:v>已检查官网/公开产品/活动资料；具体缺口见证据缺口表</x:v>
      </x:c>
    </x:row>
    <x:row r="146" ht="36" customHeight="1">
      <x:c r="A146" s="60" t="str">
        <x:v>伟事达中国</x:v>
      </x:c>
      <x:c r="B146" s="60" t="str">
        <x:v>产品</x:v>
      </x:c>
      <x:c r="C146" s="60" t="str">
        <x:v>城市范围</x:v>
      </x:c>
      <x:c r="D146" s="60" t="str">
        <x:v>CE全国；SE本地；实际城市名额待核</x:v>
      </x:c>
      <x:c r="E146" s="60" t="str">
        <x:v>S28</x:v>
      </x:c>
      <x:c r="F146" s="60" t="str">
        <x:v>已找到部分证据</x:v>
      </x:c>
      <x:c r="G146" s="60" t="str">
        <x:v>已检查官网/公开产品/活动资料；具体缺口见证据缺口表</x:v>
      </x:c>
    </x:row>
    <x:row r="147" ht="36" customHeight="1">
      <x:c r="A147" s="60" t="str">
        <x:v>伟事达中国</x:v>
      </x:c>
      <x:c r="B147" s="60" t="str">
        <x:v>产品</x:v>
      </x:c>
      <x:c r="C147" s="60" t="str">
        <x:v>包含名额</x:v>
      </x:c>
      <x:c r="D147" s="60" t="str">
        <x:v>未公开核实</x:v>
      </x:c>
      <x:c r="E147" s="60" t="str">
        <x:v>S28</x:v>
      </x:c>
      <x:c r="F147" s="60" t="str">
        <x:v>未知</x:v>
      </x:c>
      <x:c r="G147" s="60" t="str">
        <x:v>已检查官网/公开产品/活动资料；具体缺口见证据缺口表</x:v>
      </x:c>
    </x:row>
    <x:row r="148" ht="36" customHeight="1">
      <x:c r="A148" s="60" t="str">
        <x:v>伟事达中国</x:v>
      </x:c>
      <x:c r="B148" s="60" t="str">
        <x:v>产品</x:v>
      </x:c>
      <x:c r="C148" s="60" t="str">
        <x:v>额外收费</x:v>
      </x:c>
      <x:c r="D148" s="60" t="str">
        <x:v>KE私人辅导另购；差旅待核</x:v>
      </x:c>
      <x:c r="E148" s="60" t="str">
        <x:v>S28</x:v>
      </x:c>
      <x:c r="F148" s="60" t="str">
        <x:v>已找到部分证据</x:v>
      </x:c>
      <x:c r="G148" s="60" t="str">
        <x:v>已检查官网/公开产品/活动资料；具体缺口见证据缺口表</x:v>
      </x:c>
    </x:row>
    <x:row r="149" ht="36" customHeight="1">
      <x:c r="A149" s="60" t="str">
        <x:v>伟事达中国</x:v>
      </x:c>
      <x:c r="B149" s="60" t="str">
        <x:v>产品</x:v>
      </x:c>
      <x:c r="C149" s="60" t="str">
        <x:v>预约候补</x:v>
      </x:c>
      <x:c r="D149" s="60" t="str">
        <x:v>未公开核实</x:v>
      </x:c>
      <x:c r="E149" s="60" t="str">
        <x:v>S28</x:v>
      </x:c>
      <x:c r="F149" s="60" t="str">
        <x:v>未知</x:v>
      </x:c>
      <x:c r="G149" s="60" t="str">
        <x:v>已检查官网/公开产品/活动资料；具体缺口见证据缺口表</x:v>
      </x:c>
    </x:row>
    <x:row r="150" ht="36" customHeight="1">
      <x:c r="A150" s="60" t="str">
        <x:v>伟事达中国</x:v>
      </x:c>
      <x:c r="B150" s="60" t="str">
        <x:v>产品</x:v>
      </x:c>
      <x:c r="C150" s="60" t="str">
        <x:v>非会员参加</x:v>
      </x:c>
      <x:c r="D150" s="60" t="str">
        <x:v>未公开核实</x:v>
      </x:c>
      <x:c r="E150" s="60" t="str">
        <x:v>S28</x:v>
      </x:c>
      <x:c r="F150" s="60" t="str">
        <x:v>未知</x:v>
      </x:c>
      <x:c r="G150" s="60" t="str">
        <x:v>已检查官网/公开产品/活动资料；具体缺口见证据缺口表</x:v>
      </x:c>
    </x:row>
    <x:row r="151" ht="36" customHeight="1">
      <x:c r="A151" s="60" t="str">
        <x:v>伟事达中国</x:v>
      </x:c>
      <x:c r="B151" s="60" t="str">
        <x:v>产品</x:v>
      </x:c>
      <x:c r="C151" s="60" t="str">
        <x:v>带朋友或伴侣</x:v>
      </x:c>
      <x:c r="D151" s="60" t="str">
        <x:v>未公开核实</x:v>
      </x:c>
      <x:c r="E151" s="60" t="str">
        <x:v>S28</x:v>
      </x:c>
      <x:c r="F151" s="60" t="str">
        <x:v>未知</x:v>
      </x:c>
      <x:c r="G151" s="60" t="str">
        <x:v>已检查官网/公开产品/活动资料；具体缺口见证据缺口表</x:v>
      </x:c>
    </x:row>
    <x:row r="152" ht="36" customHeight="1">
      <x:c r="A152" s="60" t="str">
        <x:v>伟事达中国</x:v>
      </x:c>
      <x:c r="B152" s="60" t="str">
        <x:v>产品</x:v>
      </x:c>
      <x:c r="C152" s="60" t="str">
        <x:v>体验至升级路径</x:v>
      </x:c>
      <x:c r="D152" s="60" t="str">
        <x:v>未公开核实</x:v>
      </x:c>
      <x:c r="E152" s="60" t="str">
        <x:v>S28</x:v>
      </x:c>
      <x:c r="F152" s="60" t="str">
        <x:v>未知</x:v>
      </x:c>
      <x:c r="G152" s="60" t="str">
        <x:v>已检查官网/公开产品/活动资料；具体缺口见证据缺口表</x:v>
      </x:c>
    </x:row>
    <x:row r="153" ht="36" customHeight="1">
      <x:c r="A153" s="60" t="str">
        <x:v>伟事达中国</x:v>
      </x:c>
      <x:c r="B153" s="60" t="str">
        <x:v>产品</x:v>
      </x:c>
      <x:c r="C153" s="60" t="str">
        <x:v>自有或合作交付</x:v>
      </x:c>
      <x:c r="D153" s="60" t="str">
        <x:v>教练、专家、小组及全球网络</x:v>
      </x:c>
      <x:c r="E153" s="60" t="str">
        <x:v>S29</x:v>
      </x:c>
      <x:c r="F153" s="60" t="str">
        <x:v>已找到部分证据</x:v>
      </x:c>
      <x:c r="G153" s="60" t="str">
        <x:v>已检查官网/公开产品/活动资料；具体缺口见证据缺口表</x:v>
      </x:c>
    </x:row>
    <x:row r="154" ht="36" customHeight="1">
      <x:c r="A154" s="60" t="str">
        <x:v>伟事达中国</x:v>
      </x:c>
      <x:c r="B154" s="60" t="str">
        <x:v>产品</x:v>
      </x:c>
      <x:c r="C154" s="60" t="str">
        <x:v>关系状态参与规则</x:v>
      </x:c>
      <x:c r="D154" s="60" t="str">
        <x:v>未公开核实</x:v>
      </x:c>
      <x:c r="E154" s="60" t="str">
        <x:v>S28</x:v>
      </x:c>
      <x:c r="F154" s="60" t="str">
        <x:v>未知</x:v>
      </x:c>
      <x:c r="G154" s="60" t="str">
        <x:v>已检查官网/公开产品/活动资料；具体缺口见证据缺口表</x:v>
      </x:c>
    </x:row>
    <x:row r="155" ht="36" customHeight="1">
      <x:c r="A155" s="60" t="str">
        <x:v>伟事达中国</x:v>
      </x:c>
      <x:c r="B155" s="60" t="str">
        <x:v>产品</x:v>
      </x:c>
      <x:c r="C155" s="60" t="str">
        <x:v>交叉销售证据</x:v>
      </x:c>
      <x:c r="D155" s="60" t="str">
        <x:v>未公开核实</x:v>
      </x:c>
      <x:c r="E155" s="60" t="str">
        <x:v>S28</x:v>
      </x:c>
      <x:c r="F155" s="60" t="str">
        <x:v>未知</x:v>
      </x:c>
      <x:c r="G155" s="60" t="str">
        <x:v>已检查官网/公开产品/活动资料；具体缺口见证据缺口表</x:v>
      </x:c>
    </x:row>
    <x:row r="156" ht="36" customHeight="1">
      <x:c r="A156" s="60" t="str">
        <x:v>伟事达中国</x:v>
      </x:c>
      <x:c r="B156" s="60" t="str">
        <x:v>客户</x:v>
      </x:c>
      <x:c r="C156" s="60" t="str">
        <x:v>城市</x:v>
      </x:c>
      <x:c r="D156" s="60" t="str">
        <x:v>未公开核实</x:v>
      </x:c>
      <x:c r="E156" s="60" t="str">
        <x:v>S28</x:v>
      </x:c>
      <x:c r="F156" s="60" t="str">
        <x:v>未知</x:v>
      </x:c>
      <x:c r="G156" s="60" t="str">
        <x:v>已检查官网/公开产品/活动资料；具体缺口见证据缺口表</x:v>
      </x:c>
    </x:row>
    <x:row r="157" ht="36" customHeight="1">
      <x:c r="A157" s="60" t="str">
        <x:v>伟事达中国</x:v>
      </x:c>
      <x:c r="B157" s="60" t="str">
        <x:v>客户</x:v>
      </x:c>
      <x:c r="C157" s="60" t="str">
        <x:v>年龄</x:v>
      </x:c>
      <x:c r="D157" s="60" t="str">
        <x:v>未公开核实</x:v>
      </x:c>
      <x:c r="E157" s="60" t="str">
        <x:v>S28</x:v>
      </x:c>
      <x:c r="F157" s="60" t="str">
        <x:v>未知</x:v>
      </x:c>
      <x:c r="G157" s="60" t="str">
        <x:v>已检查官网/公开产品/活动资料；具体缺口见证据缺口表</x:v>
      </x:c>
    </x:row>
    <x:row r="158" ht="36" customHeight="1">
      <x:c r="A158" s="60" t="str">
        <x:v>伟事达中国</x:v>
      </x:c>
      <x:c r="B158" s="60" t="str">
        <x:v>客户</x:v>
      </x:c>
      <x:c r="C158" s="60" t="str">
        <x:v>性别结构</x:v>
      </x:c>
      <x:c r="D158" s="60" t="str">
        <x:v>未公开核实</x:v>
      </x:c>
      <x:c r="E158" s="60" t="str">
        <x:v>S28</x:v>
      </x:c>
      <x:c r="F158" s="60" t="str">
        <x:v>未知</x:v>
      </x:c>
      <x:c r="G158" s="60" t="str">
        <x:v>已检查官网/公开产品/活动资料；具体缺口见证据缺口表</x:v>
      </x:c>
    </x:row>
    <x:row r="159" ht="36" customHeight="1">
      <x:c r="A159" s="60" t="str">
        <x:v>伟事达中国</x:v>
      </x:c>
      <x:c r="B159" s="60" t="str">
        <x:v>客户</x:v>
      </x:c>
      <x:c r="C159" s="60" t="str">
        <x:v>职业行业</x:v>
      </x:c>
      <x:c r="D159" s="60" t="str">
        <x:v>企业一号位或会员企业高管，分组准入</x:v>
      </x:c>
      <x:c r="E159" s="60" t="str">
        <x:v>S28</x:v>
      </x:c>
      <x:c r="F159" s="60" t="str">
        <x:v>已找到部分证据</x:v>
      </x:c>
      <x:c r="G159" s="60" t="str">
        <x:v>已检查官网/公开产品/活动资料；具体缺口见证据缺口表</x:v>
      </x:c>
    </x:row>
    <x:row r="160" ht="36" customHeight="1">
      <x:c r="A160" s="60" t="str">
        <x:v>伟事达中国</x:v>
      </x:c>
      <x:c r="B160" s="60" t="str">
        <x:v>客户</x:v>
      </x:c>
      <x:c r="C160" s="60" t="str">
        <x:v>生活阶段</x:v>
      </x:c>
      <x:c r="D160" s="60" t="str">
        <x:v>未公开核实</x:v>
      </x:c>
      <x:c r="E160" s="60" t="str">
        <x:v>S28</x:v>
      </x:c>
      <x:c r="F160" s="60" t="str">
        <x:v>未知</x:v>
      </x:c>
      <x:c r="G160" s="60" t="str">
        <x:v>已检查官网/公开产品/活动资料；具体缺口见证据缺口表</x:v>
      </x:c>
    </x:row>
    <x:row r="161" ht="36" customHeight="1">
      <x:c r="A161" s="60" t="str">
        <x:v>伟事达中国</x:v>
      </x:c>
      <x:c r="B161" s="60" t="str">
        <x:v>客户</x:v>
      </x:c>
      <x:c r="C161" s="60" t="str">
        <x:v>资产口径</x:v>
      </x:c>
      <x:c r="D161" s="60" t="str">
        <x:v>未公开核实</x:v>
      </x:c>
      <x:c r="E161" s="60" t="str">
        <x:v>S28</x:v>
      </x:c>
      <x:c r="F161" s="60" t="str">
        <x:v>未知</x:v>
      </x:c>
      <x:c r="G161" s="60" t="str">
        <x:v>已检查官网/公开产品/活动资料；具体缺口见证据缺口表</x:v>
      </x:c>
    </x:row>
    <x:row r="162" ht="36" customHeight="1">
      <x:c r="A162" s="60" t="str">
        <x:v>伟事达中国</x:v>
      </x:c>
      <x:c r="B162" s="60" t="str">
        <x:v>客户</x:v>
      </x:c>
      <x:c r="C162" s="60" t="str">
        <x:v>消费预算</x:v>
      </x:c>
      <x:c r="D162" s="60" t="str">
        <x:v>未公开核实</x:v>
      </x:c>
      <x:c r="E162" s="60" t="str">
        <x:v>S28</x:v>
      </x:c>
      <x:c r="F162" s="60" t="str">
        <x:v>未知</x:v>
      </x:c>
      <x:c r="G162" s="60" t="str">
        <x:v>已检查官网/公开产品/活动资料；具体缺口见证据缺口表</x:v>
      </x:c>
    </x:row>
    <x:row r="163" ht="36" customHeight="1">
      <x:c r="A163" s="60" t="str">
        <x:v>伟事达中国</x:v>
      </x:c>
      <x:c r="B163" s="60" t="str">
        <x:v>客户</x:v>
      </x:c>
      <x:c r="C163" s="60" t="str">
        <x:v>核心需求</x:v>
      </x:c>
      <x:c r="D163" s="60" t="str">
        <x:v>同侪决策支持与个人成长 定位</x:v>
      </x:c>
      <x:c r="E163" s="60" t="str">
        <x:v>S29</x:v>
      </x:c>
      <x:c r="F163" s="60" t="str">
        <x:v>已找到部分证据</x:v>
      </x:c>
      <x:c r="G163" s="60" t="str">
        <x:v>已检查官网/公开产品/活动资料；具体缺口见证据缺口表</x:v>
      </x:c>
    </x:row>
    <x:row r="164" ht="36" customHeight="1">
      <x:c r="A164" s="60" t="str">
        <x:v>伟事达中国</x:v>
      </x:c>
      <x:c r="B164" s="60" t="str">
        <x:v>客户</x:v>
      </x:c>
      <x:c r="C164" s="60" t="str">
        <x:v>购买触发</x:v>
      </x:c>
      <x:c r="D164" s="60" t="str">
        <x:v>未公开核实</x:v>
      </x:c>
      <x:c r="E164" s="60" t="str">
        <x:v>S28</x:v>
      </x:c>
      <x:c r="F164" s="60" t="str">
        <x:v>未知</x:v>
      </x:c>
      <x:c r="G164" s="60" t="str">
        <x:v>已检查官网/公开产品/活动资料；具体缺口见证据缺口表</x:v>
      </x:c>
    </x:row>
    <x:row r="165" ht="36" customHeight="1">
      <x:c r="A165" s="60" t="str">
        <x:v>伟事达中国</x:v>
      </x:c>
      <x:c r="B165" s="60" t="str">
        <x:v>客户</x:v>
      </x:c>
      <x:c r="C165" s="60" t="str">
        <x:v>选择标准</x:v>
      </x:c>
      <x:c r="D165" s="60" t="str">
        <x:v>未公开核实</x:v>
      </x:c>
      <x:c r="E165" s="60" t="str">
        <x:v>S28</x:v>
      </x:c>
      <x:c r="F165" s="60" t="str">
        <x:v>未知</x:v>
      </x:c>
      <x:c r="G165" s="60" t="str">
        <x:v>已检查官网/公开产品/活动资料；具体缺口见证据缺口表</x:v>
      </x:c>
    </x:row>
    <x:row r="166" ht="36" customHeight="1">
      <x:c r="A166" s="60" t="str">
        <x:v>伟事达中国</x:v>
      </x:c>
      <x:c r="B166" s="60" t="str">
        <x:v>客户</x:v>
      </x:c>
      <x:c r="C166" s="60" t="str">
        <x:v>谁发现</x:v>
      </x:c>
      <x:c r="D166" s="60" t="str">
        <x:v>未公开核实</x:v>
      </x:c>
      <x:c r="E166" s="60" t="str">
        <x:v>S28</x:v>
      </x:c>
      <x:c r="F166" s="60" t="str">
        <x:v>未知</x:v>
      </x:c>
      <x:c r="G166" s="60" t="str">
        <x:v>已检查官网/公开产品/活动资料；具体缺口见证据缺口表</x:v>
      </x:c>
    </x:row>
    <x:row r="167" ht="36" customHeight="1">
      <x:c r="A167" s="60" t="str">
        <x:v>伟事达中国</x:v>
      </x:c>
      <x:c r="B167" s="60" t="str">
        <x:v>客户</x:v>
      </x:c>
      <x:c r="C167" s="60" t="str">
        <x:v>谁推荐</x:v>
      </x:c>
      <x:c r="D167" s="60" t="str">
        <x:v>未公开核实</x:v>
      </x:c>
      <x:c r="E167" s="60" t="str">
        <x:v>S28</x:v>
      </x:c>
      <x:c r="F167" s="60" t="str">
        <x:v>未知</x:v>
      </x:c>
      <x:c r="G167" s="60" t="str">
        <x:v>已检查官网/公开产品/活动资料；具体缺口见证据缺口表</x:v>
      </x:c>
    </x:row>
    <x:row r="168" ht="36" customHeight="1">
      <x:c r="A168" s="60" t="str">
        <x:v>伟事达中国</x:v>
      </x:c>
      <x:c r="B168" s="60" t="str">
        <x:v>客户</x:v>
      </x:c>
      <x:c r="C168" s="60" t="str">
        <x:v>谁付款</x:v>
      </x:c>
      <x:c r="D168" s="60" t="str">
        <x:v>未公开核实</x:v>
      </x:c>
      <x:c r="E168" s="60" t="str">
        <x:v>S28</x:v>
      </x:c>
      <x:c r="F168" s="60" t="str">
        <x:v>未知</x:v>
      </x:c>
      <x:c r="G168" s="60" t="str">
        <x:v>已检查官网/公开产品/活动资料；具体缺口见证据缺口表</x:v>
      </x:c>
    </x:row>
    <x:row r="169" ht="36" customHeight="1">
      <x:c r="A169" s="60" t="str">
        <x:v>伟事达中国</x:v>
      </x:c>
      <x:c r="B169" s="60" t="str">
        <x:v>客户</x:v>
      </x:c>
      <x:c r="C169" s="60" t="str">
        <x:v>共同决策</x:v>
      </x:c>
      <x:c r="D169" s="60" t="str">
        <x:v>未公开核实</x:v>
      </x:c>
      <x:c r="E169" s="60" t="str">
        <x:v>S28</x:v>
      </x:c>
      <x:c r="F169" s="60" t="str">
        <x:v>未知</x:v>
      </x:c>
      <x:c r="G169" s="60" t="str">
        <x:v>已检查官网/公开产品/活动资料；具体缺口见证据缺口表</x:v>
      </x:c>
    </x:row>
    <x:row r="170" ht="36" customHeight="1">
      <x:c r="A170" s="60" t="str">
        <x:v>伟事达中国</x:v>
      </x:c>
      <x:c r="B170" s="60" t="str">
        <x:v>客户</x:v>
      </x:c>
      <x:c r="C170" s="60" t="str">
        <x:v>时间偏好</x:v>
      </x:c>
      <x:c r="D170" s="60" t="str">
        <x:v>未公开核实</x:v>
      </x:c>
      <x:c r="E170" s="60" t="str">
        <x:v>S28</x:v>
      </x:c>
      <x:c r="F170" s="60" t="str">
        <x:v>未知</x:v>
      </x:c>
      <x:c r="G170" s="60" t="str">
        <x:v>已检查官网/公开产品/活动资料；具体缺口见证据缺口表</x:v>
      </x:c>
    </x:row>
    <x:row r="171" ht="36" customHeight="1">
      <x:c r="A171" s="60" t="str">
        <x:v>伟事达中国</x:v>
      </x:c>
      <x:c r="B171" s="60" t="str">
        <x:v>客户</x:v>
      </x:c>
      <x:c r="C171" s="60" t="str">
        <x:v>活动人数偏好</x:v>
      </x:c>
      <x:c r="D171" s="60" t="str">
        <x:v>未公开核实</x:v>
      </x:c>
      <x:c r="E171" s="60" t="str">
        <x:v>S28</x:v>
      </x:c>
      <x:c r="F171" s="60" t="str">
        <x:v>未知</x:v>
      </x:c>
      <x:c r="G171" s="60" t="str">
        <x:v>已检查官网/公开产品/活动资料；具体缺口见证据缺口表</x:v>
      </x:c>
    </x:row>
    <x:row r="172" ht="36" customHeight="1">
      <x:c r="A172" s="60" t="str">
        <x:v>伟事达中国</x:v>
      </x:c>
      <x:c r="B172" s="60" t="str">
        <x:v>客户</x:v>
      </x:c>
      <x:c r="C172" s="60" t="str">
        <x:v>顾虑与退出</x:v>
      </x:c>
      <x:c r="D172" s="60" t="str">
        <x:v>未公开核实</x:v>
      </x:c>
      <x:c r="E172" s="60" t="str">
        <x:v>S28</x:v>
      </x:c>
      <x:c r="F172" s="60" t="str">
        <x:v>未知</x:v>
      </x:c>
      <x:c r="G172" s="60" t="str">
        <x:v>已检查官网/公开产品/活动资料；具体缺口见证据缺口表</x:v>
      </x:c>
    </x:row>
    <x:row r="173" ht="36" customHeight="1">
      <x:c r="A173" s="60" t="str">
        <x:v>伟事达中国</x:v>
      </x:c>
      <x:c r="B173" s="60" t="str">
        <x:v>客户</x:v>
      </x:c>
      <x:c r="C173" s="60" t="str">
        <x:v>留存动机</x:v>
      </x:c>
      <x:c r="D173" s="60" t="str">
        <x:v>未公开核实</x:v>
      </x:c>
      <x:c r="E173" s="60" t="str">
        <x:v>S28</x:v>
      </x:c>
      <x:c r="F173" s="60" t="str">
        <x:v>未知</x:v>
      </x:c>
      <x:c r="G173" s="60" t="str">
        <x:v>已检查官网/公开产品/活动资料；具体缺口见证据缺口表</x:v>
      </x:c>
    </x:row>
    <x:row r="174" ht="36" customHeight="1">
      <x:c r="A174" s="60" t="str">
        <x:v>伟事达中国</x:v>
      </x:c>
      <x:c r="B174" s="60" t="str">
        <x:v>获客</x:v>
      </x:c>
      <x:c r="C174" s="60" t="str">
        <x:v>公开渠道</x:v>
      </x:c>
      <x:c r="D174" s="60" t="str">
        <x:v>官网 智库 内容 体验与推荐入口</x:v>
      </x:c>
      <x:c r="E174" s="60" t="str">
        <x:v>S29</x:v>
      </x:c>
      <x:c r="F174" s="60" t="str">
        <x:v>已找到部分证据</x:v>
      </x:c>
      <x:c r="G174" s="60" t="str">
        <x:v>已检查官网/公开产品/活动资料；具体缺口见证据缺口表</x:v>
      </x:c>
    </x:row>
    <x:row r="175" ht="36" customHeight="1">
      <x:c r="A175" s="60" t="str">
        <x:v>伟事达中国</x:v>
      </x:c>
      <x:c r="B175" s="60" t="str">
        <x:v>获客</x:v>
      </x:c>
      <x:c r="C175" s="60" t="str">
        <x:v>账号身份</x:v>
      </x:c>
      <x:c r="D175" s="60" t="str">
        <x:v>未公开核实</x:v>
      </x:c>
      <x:c r="E175" s="60" t="str">
        <x:v>S28</x:v>
      </x:c>
      <x:c r="F175" s="60" t="str">
        <x:v>未知</x:v>
      </x:c>
      <x:c r="G175" s="60" t="str">
        <x:v>已检查官网/公开产品/活动资料；具体缺口见证据缺口表</x:v>
      </x:c>
    </x:row>
    <x:row r="176" ht="36" customHeight="1">
      <x:c r="A176" s="60" t="str">
        <x:v>伟事达中国</x:v>
      </x:c>
      <x:c r="B176" s="60" t="str">
        <x:v>获客</x:v>
      </x:c>
      <x:c r="C176" s="60" t="str">
        <x:v>内容主题</x:v>
      </x:c>
      <x:c r="D176" s="60" t="str">
        <x:v>未公开核实</x:v>
      </x:c>
      <x:c r="E176" s="60" t="str">
        <x:v>S28</x:v>
      </x:c>
      <x:c r="F176" s="60" t="str">
        <x:v>未知</x:v>
      </x:c>
      <x:c r="G176" s="60" t="str">
        <x:v>已检查官网/公开产品/活动资料；具体缺口见证据缺口表</x:v>
      </x:c>
    </x:row>
    <x:row r="177" ht="36" customHeight="1">
      <x:c r="A177" s="60" t="str">
        <x:v>伟事达中国</x:v>
      </x:c>
      <x:c r="B177" s="60" t="str">
        <x:v>获客</x:v>
      </x:c>
      <x:c r="C177" s="60" t="str">
        <x:v>咨询入口</x:v>
      </x:c>
      <x:c r="D177" s="60" t="str">
        <x:v>会员报名或体验会</x:v>
      </x:c>
      <x:c r="E177" s="60" t="str">
        <x:v>S29</x:v>
      </x:c>
      <x:c r="F177" s="60" t="str">
        <x:v>已找到部分证据</x:v>
      </x:c>
      <x:c r="G177" s="60" t="str">
        <x:v>已检查官网/公开产品/活动资料；具体缺口见证据缺口表</x:v>
      </x:c>
    </x:row>
    <x:row r="178" ht="36" customHeight="1">
      <x:c r="A178" s="60" t="str">
        <x:v>伟事达中国</x:v>
      </x:c>
      <x:c r="B178" s="60" t="str">
        <x:v>获客</x:v>
      </x:c>
      <x:c r="C178" s="60" t="str">
        <x:v>筛选流程</x:v>
      </x:c>
      <x:c r="D178" s="60" t="str">
        <x:v>教练面试并经其他组员认可</x:v>
      </x:c>
      <x:c r="E178" s="60" t="str">
        <x:v>S30</x:v>
      </x:c>
      <x:c r="F178" s="60" t="str">
        <x:v>已找到部分证据</x:v>
      </x:c>
      <x:c r="G178" s="60" t="str">
        <x:v>已检查官网/公开产品/活动资料；具体缺口见证据缺口表</x:v>
      </x:c>
    </x:row>
    <x:row r="179" ht="36" customHeight="1">
      <x:c r="A179" s="60" t="str">
        <x:v>伟事达中国</x:v>
      </x:c>
      <x:c r="B179" s="60" t="str">
        <x:v>获客</x:v>
      </x:c>
      <x:c r="C179" s="60" t="str">
        <x:v>体验入口</x:v>
      </x:c>
      <x:c r="D179" s="60" t="str">
        <x:v>未公开核实</x:v>
      </x:c>
      <x:c r="E179" s="60" t="str">
        <x:v>S28</x:v>
      </x:c>
      <x:c r="F179" s="60" t="str">
        <x:v>未知</x:v>
      </x:c>
      <x:c r="G179" s="60" t="str">
        <x:v>已检查官网/公开产品/活动资料；具体缺口见证据缺口表</x:v>
      </x:c>
    </x:row>
    <x:row r="180" ht="36" customHeight="1">
      <x:c r="A180" s="60" t="str">
        <x:v>伟事达中国</x:v>
      </x:c>
      <x:c r="B180" s="60" t="str">
        <x:v>获客</x:v>
      </x:c>
      <x:c r="C180" s="60" t="str">
        <x:v>成交路径</x:v>
      </x:c>
      <x:c r="D180" s="60" t="str">
        <x:v>未公开核实</x:v>
      </x:c>
      <x:c r="E180" s="60" t="str">
        <x:v>S28</x:v>
      </x:c>
      <x:c r="F180" s="60" t="str">
        <x:v>未知</x:v>
      </x:c>
      <x:c r="G180" s="60" t="str">
        <x:v>已检查官网/公开产品/活动资料；具体缺口见证据缺口表</x:v>
      </x:c>
    </x:row>
    <x:row r="181" ht="36" customHeight="1">
      <x:c r="A181" s="60" t="str">
        <x:v>伟事达中国</x:v>
      </x:c>
      <x:c r="B181" s="60" t="str">
        <x:v>获客</x:v>
      </x:c>
      <x:c r="C181" s="60" t="str">
        <x:v>信任材料</x:v>
      </x:c>
      <x:c r="D181" s="60" t="str">
        <x:v>教练经验、分组规则、保密及服务结构</x:v>
      </x:c>
      <x:c r="E181" s="60" t="str">
        <x:v>S29 S30</x:v>
      </x:c>
      <x:c r="F181" s="60" t="str">
        <x:v>已找到部分证据</x:v>
      </x:c>
      <x:c r="G181" s="60" t="str">
        <x:v>已检查官网/公开产品/活动资料；具体缺口见证据缺口表</x:v>
      </x:c>
    </x:row>
    <x:row r="182" ht="36" customHeight="1">
      <x:c r="A182" s="60" t="str">
        <x:v>伟事达中国</x:v>
      </x:c>
      <x:c r="B182" s="60" t="str">
        <x:v>获客</x:v>
      </x:c>
      <x:c r="C182" s="60" t="str">
        <x:v>合作渠道</x:v>
      </x:c>
      <x:c r="D182" s="60" t="str">
        <x:v>未公开核实</x:v>
      </x:c>
      <x:c r="E182" s="60" t="str">
        <x:v>S28</x:v>
      </x:c>
      <x:c r="F182" s="60" t="str">
        <x:v>未知</x:v>
      </x:c>
      <x:c r="G182" s="60" t="str">
        <x:v>已检查官网/公开产品/活动资料；具体缺口见证据缺口表</x:v>
      </x:c>
    </x:row>
    <x:row r="183" ht="36" customHeight="1">
      <x:c r="A183" s="60" t="str">
        <x:v>伟事达中国</x:v>
      </x:c>
      <x:c r="B183" s="60" t="str">
        <x:v>获客</x:v>
      </x:c>
      <x:c r="C183" s="60" t="str">
        <x:v>转介绍机制</x:v>
      </x:c>
      <x:c r="D183" s="60" t="str">
        <x:v>品牌页存在推荐新会员入口，实际成交未知</x:v>
      </x:c>
      <x:c r="E183" s="60" t="str">
        <x:v>S28</x:v>
      </x:c>
      <x:c r="F183" s="60" t="str">
        <x:v>已找到部分证据</x:v>
      </x:c>
      <x:c r="G183" s="60" t="str">
        <x:v>已检查官网/公开产品/活动资料；具体缺口见证据缺口表</x:v>
      </x:c>
    </x:row>
    <x:row r="184" ht="36" customHeight="1">
      <x:c r="A184" s="60" t="str">
        <x:v>伟事达中国</x:v>
      </x:c>
      <x:c r="B184" s="60" t="str">
        <x:v>获客</x:v>
      </x:c>
      <x:c r="C184" s="60" t="str">
        <x:v>获客成本</x:v>
      </x:c>
      <x:c r="D184" s="60" t="str">
        <x:v>未公开核实</x:v>
      </x:c>
      <x:c r="E184" s="60" t="str">
        <x:v>S28</x:v>
      </x:c>
      <x:c r="F184" s="60" t="str">
        <x:v>未知</x:v>
      </x:c>
      <x:c r="G184" s="60" t="str">
        <x:v>已检查官网/公开产品/活动资料；具体缺口见证据缺口表</x:v>
      </x:c>
    </x:row>
    <x:row r="185" ht="36" customHeight="1">
      <x:c r="A185" s="60" t="str">
        <x:v>伟事达中国</x:v>
      </x:c>
      <x:c r="B185" s="60" t="str">
        <x:v>获客</x:v>
      </x:c>
      <x:c r="C185" s="60" t="str">
        <x:v>转化率</x:v>
      </x:c>
      <x:c r="D185" s="60" t="str">
        <x:v>未公开核实</x:v>
      </x:c>
      <x:c r="E185" s="60" t="str">
        <x:v>S28</x:v>
      </x:c>
      <x:c r="F185" s="60" t="str">
        <x:v>未知</x:v>
      </x:c>
      <x:c r="G185" s="60" t="str">
        <x:v>已检查官网/公开产品/活动资料；具体缺口见证据缺口表</x:v>
      </x:c>
    </x:row>
    <x:row r="186" ht="36" customHeight="1">
      <x:c r="A186" s="60" t="str">
        <x:v>伟事达中国</x:v>
      </x:c>
      <x:c r="B186" s="60" t="str">
        <x:v>活动</x:v>
      </x:c>
      <x:c r="C186" s="60" t="str">
        <x:v>主题与地点</x:v>
      </x:c>
      <x:c r="D186" s="60" t="str">
        <x:v>马来西亚小组游学及深圳同期私董会</x:v>
      </x:c>
      <x:c r="E186" s="60" t="str">
        <x:v>S31 S32</x:v>
      </x:c>
      <x:c r="F186" s="60" t="str">
        <x:v>已找到部分证据</x:v>
      </x:c>
      <x:c r="G186" s="60" t="str">
        <x:v>已检查官网/公开产品/活动资料；具体缺口见证据缺口表</x:v>
      </x:c>
    </x:row>
    <x:row r="187" ht="36" customHeight="1">
      <x:c r="A187" s="60" t="str">
        <x:v>伟事达中国</x:v>
      </x:c>
      <x:c r="B187" s="60" t="str">
        <x:v>活动</x:v>
      </x:c>
      <x:c r="C187" s="60" t="str">
        <x:v>时长及人数</x:v>
      </x:c>
      <x:c r="D187" s="60" t="str">
        <x:v>产品标准12—16人；个别活动实际人数未知</x:v>
      </x:c>
      <x:c r="E187" s="60" t="str">
        <x:v>S29</x:v>
      </x:c>
      <x:c r="F187" s="60" t="str">
        <x:v>已找到部分证据</x:v>
      </x:c>
      <x:c r="G187" s="60" t="str">
        <x:v>已检查官网/公开产品/活动资料；具体缺口见证据缺口表</x:v>
      </x:c>
    </x:row>
    <x:row r="188" ht="36" customHeight="1">
      <x:c r="A188" s="60" t="str">
        <x:v>伟事达中国</x:v>
      </x:c>
      <x:c r="B188" s="60" t="str">
        <x:v>活动</x:v>
      </x:c>
      <x:c r="C188" s="60" t="str">
        <x:v>招募筛选</x:v>
      </x:c>
      <x:c r="D188" s="60" t="str">
        <x:v>产品准入不等同每场实际名单</x:v>
      </x:c>
      <x:c r="E188" s="60" t="str">
        <x:v>S28 S30</x:v>
      </x:c>
      <x:c r="F188" s="60" t="str">
        <x:v>已找到部分证据</x:v>
      </x:c>
      <x:c r="G188" s="60" t="str">
        <x:v>已检查官网/公开产品/活动资料；具体缺口见证据缺口表</x:v>
      </x:c>
    </x:row>
    <x:row r="189" ht="36" customHeight="1">
      <x:c r="A189" s="60" t="str">
        <x:v>伟事达中国</x:v>
      </x:c>
      <x:c r="B189" s="60" t="str">
        <x:v>活动</x:v>
      </x:c>
      <x:c r="C189" s="60" t="str">
        <x:v>行前沟通</x:v>
      </x:c>
      <x:c r="D189" s="60" t="str">
        <x:v>未公开核实</x:v>
      </x:c>
      <x:c r="E189" s="60" t="str">
        <x:v>S28</x:v>
      </x:c>
      <x:c r="F189" s="60" t="str">
        <x:v>未知</x:v>
      </x:c>
      <x:c r="G189" s="60" t="str">
        <x:v>已检查官网/公开产品/活动资料；具体缺口见证据缺口表</x:v>
      </x:c>
    </x:row>
    <x:row r="190" ht="36" customHeight="1">
      <x:c r="A190" s="60" t="str">
        <x:v>伟事达中国</x:v>
      </x:c>
      <x:c r="B190" s="60" t="str">
        <x:v>活动</x:v>
      </x:c>
      <x:c r="C190" s="60" t="str">
        <x:v>签到</x:v>
      </x:c>
      <x:c r="D190" s="60" t="str">
        <x:v>未公开核实</x:v>
      </x:c>
      <x:c r="E190" s="60" t="str">
        <x:v>S28</x:v>
      </x:c>
      <x:c r="F190" s="60" t="str">
        <x:v>未知</x:v>
      </x:c>
      <x:c r="G190" s="60" t="str">
        <x:v>已检查官网/公开产品/活动资料；具体缺口见证据缺口表</x:v>
      </x:c>
    </x:row>
    <x:row r="191" ht="36" customHeight="1">
      <x:c r="A191" s="60" t="str">
        <x:v>伟事达中国</x:v>
      </x:c>
      <x:c r="B191" s="60" t="str">
        <x:v>活动</x:v>
      </x:c>
      <x:c r="C191" s="60" t="str">
        <x:v>破冰</x:v>
      </x:c>
      <x:c r="D191" s="60" t="str">
        <x:v>未公开核实</x:v>
      </x:c>
      <x:c r="E191" s="60" t="str">
        <x:v>S28</x:v>
      </x:c>
      <x:c r="F191" s="60" t="str">
        <x:v>未知</x:v>
      </x:c>
      <x:c r="G191" s="60" t="str">
        <x:v>已检查官网/公开产品/活动资料；具体缺口见证据缺口表</x:v>
      </x:c>
    </x:row>
    <x:row r="192" ht="36" customHeight="1">
      <x:c r="A192" s="60" t="str">
        <x:v>伟事达中国</x:v>
      </x:c>
      <x:c r="B192" s="60" t="str">
        <x:v>活动</x:v>
      </x:c>
      <x:c r="C192" s="60" t="str">
        <x:v>主体环节</x:v>
      </x:c>
      <x:c r="D192" s="60" t="str">
        <x:v>教练结构化讨论；具体活动议程未全得</x:v>
      </x:c>
      <x:c r="E192" s="60" t="str">
        <x:v>S29 S31</x:v>
      </x:c>
      <x:c r="F192" s="60" t="str">
        <x:v>已找到部分证据</x:v>
      </x:c>
      <x:c r="G192" s="60" t="str">
        <x:v>已检查官网/公开产品/活动资料；具体缺口见证据缺口表</x:v>
      </x:c>
    </x:row>
    <x:row r="193" ht="36" customHeight="1">
      <x:c r="A193" s="60" t="str">
        <x:v>伟事达中国</x:v>
      </x:c>
      <x:c r="B193" s="60" t="str">
        <x:v>活动</x:v>
      </x:c>
      <x:c r="C193" s="60" t="str">
        <x:v>自由交流</x:v>
      </x:c>
      <x:c r="D193" s="60" t="str">
        <x:v>未公开核实</x:v>
      </x:c>
      <x:c r="E193" s="60" t="str">
        <x:v>S28</x:v>
      </x:c>
      <x:c r="F193" s="60" t="str">
        <x:v>未知</x:v>
      </x:c>
      <x:c r="G193" s="60" t="str">
        <x:v>已检查官网/公开产品/活动资料；具体缺口见证据缺口表</x:v>
      </x:c>
    </x:row>
    <x:row r="194" ht="36" customHeight="1">
      <x:c r="A194" s="60" t="str">
        <x:v>伟事达中国</x:v>
      </x:c>
      <x:c r="B194" s="60" t="str">
        <x:v>活动</x:v>
      </x:c>
      <x:c r="C194" s="60" t="str">
        <x:v>回访</x:v>
      </x:c>
      <x:c r="D194" s="60" t="str">
        <x:v>未公开核实</x:v>
      </x:c>
      <x:c r="E194" s="60" t="str">
        <x:v>S28</x:v>
      </x:c>
      <x:c r="F194" s="60" t="str">
        <x:v>未知</x:v>
      </x:c>
      <x:c r="G194" s="60" t="str">
        <x:v>已检查官网/公开产品/活动资料；具体缺口见证据缺口表</x:v>
      </x:c>
    </x:row>
    <x:row r="195" ht="36" customHeight="1">
      <x:c r="A195" s="60" t="str">
        <x:v>伟事达中国</x:v>
      </x:c>
      <x:c r="B195" s="60" t="str">
        <x:v>活动</x:v>
      </x:c>
      <x:c r="C195" s="60" t="str">
        <x:v>人员角色</x:v>
      </x:c>
      <x:c r="D195" s="60" t="str">
        <x:v>教练 专家 同侪；海外个案有带队教练</x:v>
      </x:c>
      <x:c r="E195" s="60" t="str">
        <x:v>S29 S31</x:v>
      </x:c>
      <x:c r="F195" s="60" t="str">
        <x:v>已找到部分证据</x:v>
      </x:c>
      <x:c r="G195" s="60" t="str">
        <x:v>已检查官网/公开产品/活动资料；具体缺口见证据缺口表</x:v>
      </x:c>
    </x:row>
    <x:row r="196" ht="36" customHeight="1">
      <x:c r="A196" s="60" t="str">
        <x:v>伟事达中国</x:v>
      </x:c>
      <x:c r="B196" s="60" t="str">
        <x:v>活动</x:v>
      </x:c>
      <x:c r="C196" s="60" t="str">
        <x:v>供应商</x:v>
      </x:c>
      <x:c r="D196" s="60" t="str">
        <x:v>未公开核实</x:v>
      </x:c>
      <x:c r="E196" s="60" t="str">
        <x:v>S28</x:v>
      </x:c>
      <x:c r="F196" s="60" t="str">
        <x:v>未知</x:v>
      </x:c>
      <x:c r="G196" s="60" t="str">
        <x:v>已检查官网/公开产品/活动资料；具体缺口见证据缺口表</x:v>
      </x:c>
    </x:row>
    <x:row r="197" ht="36" customHeight="1">
      <x:c r="A197" s="60" t="str">
        <x:v>伟事达中国</x:v>
      </x:c>
      <x:c r="B197" s="60" t="str">
        <x:v>活动</x:v>
      </x:c>
      <x:c r="C197" s="60" t="str">
        <x:v>异常投诉</x:v>
      </x:c>
      <x:c r="D197" s="60" t="str">
        <x:v>未公开核实</x:v>
      </x:c>
      <x:c r="E197" s="60" t="str">
        <x:v>S28</x:v>
      </x:c>
      <x:c r="F197" s="60" t="str">
        <x:v>未知</x:v>
      </x:c>
      <x:c r="G197" s="60" t="str">
        <x:v>已检查官网/公开产品/活动资料；具体缺口见证据缺口表</x:v>
      </x:c>
    </x:row>
    <x:row r="198" ht="36" customHeight="1">
      <x:c r="A198" s="60" t="str">
        <x:v>伟事达中国</x:v>
      </x:c>
      <x:c r="B198" s="60" t="str">
        <x:v>用户活跃</x:v>
      </x:c>
      <x:c r="C198" s="60" t="str">
        <x:v>粉丝数</x:v>
      </x:c>
      <x:c r="D198" s="60" t="str">
        <x:v>未公开核实</x:v>
      </x:c>
      <x:c r="E198" s="60" t="str">
        <x:v>S28</x:v>
      </x:c>
      <x:c r="F198" s="60" t="str">
        <x:v>未知</x:v>
      </x:c>
      <x:c r="G198" s="60" t="str">
        <x:v>已检查官网/公开产品/活动资料；具体缺口见证据缺口表</x:v>
      </x:c>
    </x:row>
    <x:row r="199" ht="36" customHeight="1">
      <x:c r="A199" s="60" t="str">
        <x:v>伟事达中国</x:v>
      </x:c>
      <x:c r="B199" s="60" t="str">
        <x:v>用户活跃</x:v>
      </x:c>
      <x:c r="C199" s="60" t="str">
        <x:v>社群人数</x:v>
      </x:c>
      <x:c r="D199" s="60" t="str">
        <x:v>未公开核实</x:v>
      </x:c>
      <x:c r="E199" s="60" t="str">
        <x:v>S28</x:v>
      </x:c>
      <x:c r="F199" s="60" t="str">
        <x:v>未知</x:v>
      </x:c>
      <x:c r="G199" s="60" t="str">
        <x:v>已检查官网/公开产品/活动资料；具体缺口见证据缺口表</x:v>
      </x:c>
    </x:row>
    <x:row r="200" ht="36" customHeight="1">
      <x:c r="A200" s="60" t="str">
        <x:v>伟事达中国</x:v>
      </x:c>
      <x:c r="B200" s="60" t="str">
        <x:v>用户活跃</x:v>
      </x:c>
      <x:c r="C200" s="60" t="str">
        <x:v>累计人数</x:v>
      </x:c>
      <x:c r="D200" s="60" t="str">
        <x:v>全球累计25万及现有4.5万自述 非中国会员</x:v>
      </x:c>
      <x:c r="E200" s="60" t="str">
        <x:v>S29</x:v>
      </x:c>
      <x:c r="F200" s="60" t="str">
        <x:v>已找到部分证据</x:v>
      </x:c>
      <x:c r="G200" s="60" t="str">
        <x:v>已检查官网/公开产品/活动资料；具体缺口见证据缺口表</x:v>
      </x:c>
    </x:row>
    <x:row r="201" ht="36" customHeight="1">
      <x:c r="A201" s="60" t="str">
        <x:v>伟事达中国</x:v>
      </x:c>
      <x:c r="B201" s="60" t="str">
        <x:v>用户活跃</x:v>
      </x:c>
      <x:c r="C201" s="60" t="str">
        <x:v>有效付费会员</x:v>
      </x:c>
      <x:c r="D201" s="60" t="str">
        <x:v>未公开核实</x:v>
      </x:c>
      <x:c r="E201" s="60" t="str">
        <x:v>S28</x:v>
      </x:c>
      <x:c r="F201" s="60" t="str">
        <x:v>未知</x:v>
      </x:c>
      <x:c r="G201" s="60" t="str">
        <x:v>已检查官网/公开产品/活动资料；具体缺口见证据缺口表</x:v>
      </x:c>
    </x:row>
    <x:row r="202" ht="36" customHeight="1">
      <x:c r="A202" s="60" t="str">
        <x:v>伟事达中国</x:v>
      </x:c>
      <x:c r="B202" s="60" t="str">
        <x:v>用户活跃</x:v>
      </x:c>
      <x:c r="C202" s="60" t="str">
        <x:v>近90天活动数</x:v>
      </x:c>
      <x:c r="D202" s="60" t="str">
        <x:v>未公开核实</x:v>
      </x:c>
      <x:c r="E202" s="60" t="str">
        <x:v>S28</x:v>
      </x:c>
      <x:c r="F202" s="60" t="str">
        <x:v>未知</x:v>
      </x:c>
      <x:c r="G202" s="60" t="str">
        <x:v>已检查官网/公开产品/活动资料；具体缺口见证据缺口表</x:v>
      </x:c>
    </x:row>
    <x:row r="203" ht="36" customHeight="1">
      <x:c r="A203" s="60" t="str">
        <x:v>伟事达中国</x:v>
      </x:c>
      <x:c r="B203" s="60" t="str">
        <x:v>用户活跃</x:v>
      </x:c>
      <x:c r="C203" s="60" t="str">
        <x:v>近12月活动数</x:v>
      </x:c>
      <x:c r="D203" s="60" t="str">
        <x:v>未公开核实</x:v>
      </x:c>
      <x:c r="E203" s="60" t="str">
        <x:v>S28</x:v>
      </x:c>
      <x:c r="F203" s="60" t="str">
        <x:v>未知</x:v>
      </x:c>
      <x:c r="G203" s="60" t="str">
        <x:v>已检查官网/公开产品/活动资料；具体缺口见证据缺口表</x:v>
      </x:c>
    </x:row>
    <x:row r="204" ht="36" customHeight="1">
      <x:c r="A204" s="60" t="str">
        <x:v>伟事达中国</x:v>
      </x:c>
      <x:c r="B204" s="60" t="str">
        <x:v>用户活跃</x:v>
      </x:c>
      <x:c r="C204" s="60" t="str">
        <x:v>到场</x:v>
      </x:c>
      <x:c r="D204" s="60" t="str">
        <x:v>未公开核实</x:v>
      </x:c>
      <x:c r="E204" s="60" t="str">
        <x:v>S28</x:v>
      </x:c>
      <x:c r="F204" s="60" t="str">
        <x:v>未知</x:v>
      </x:c>
      <x:c r="G204" s="60" t="str">
        <x:v>已检查官网/公开产品/活动资料；具体缺口见证据缺口表</x:v>
      </x:c>
    </x:row>
    <x:row r="205" ht="36" customHeight="1">
      <x:c r="A205" s="60" t="str">
        <x:v>伟事达中国</x:v>
      </x:c>
      <x:c r="B205" s="60" t="str">
        <x:v>用户活跃</x:v>
      </x:c>
      <x:c r="C205" s="60" t="str">
        <x:v>复购</x:v>
      </x:c>
      <x:c r="D205" s="60" t="str">
        <x:v>未公开核实</x:v>
      </x:c>
      <x:c r="E205" s="60" t="str">
        <x:v>S28</x:v>
      </x:c>
      <x:c r="F205" s="60" t="str">
        <x:v>未知</x:v>
      </x:c>
      <x:c r="G205" s="60" t="str">
        <x:v>已检查官网/公开产品/活动资料；具体缺口见证据缺口表</x:v>
      </x:c>
    </x:row>
    <x:row r="206" ht="36" customHeight="1">
      <x:c r="A206" s="60" t="str">
        <x:v>伟事达中国</x:v>
      </x:c>
      <x:c r="B206" s="60" t="str">
        <x:v>用户活跃</x:v>
      </x:c>
      <x:c r="C206" s="60" t="str">
        <x:v>活跃率</x:v>
      </x:c>
      <x:c r="D206" s="60" t="str">
        <x:v>未公开核实</x:v>
      </x:c>
      <x:c r="E206" s="60" t="str">
        <x:v>S28</x:v>
      </x:c>
      <x:c r="F206" s="60" t="str">
        <x:v>未知</x:v>
      </x:c>
      <x:c r="G206" s="60" t="str">
        <x:v>已检查官网/公开产品/活动资料；具体缺口见证据缺口表</x:v>
      </x:c>
    </x:row>
    <x:row r="207" ht="36" customHeight="1">
      <x:c r="A207" s="60" t="str">
        <x:v>伟事达中国</x:v>
      </x:c>
      <x:c r="B207" s="60" t="str">
        <x:v>用户活跃</x:v>
      </x:c>
      <x:c r="C207" s="60" t="str">
        <x:v>续费率</x:v>
      </x:c>
      <x:c r="D207" s="60" t="str">
        <x:v>未公开核实</x:v>
      </x:c>
      <x:c r="E207" s="60" t="str">
        <x:v>S28</x:v>
      </x:c>
      <x:c r="F207" s="60" t="str">
        <x:v>未知</x:v>
      </x:c>
      <x:c r="G207" s="60" t="str">
        <x:v>已检查官网/公开产品/活动资料；具体缺口见证据缺口表</x:v>
      </x:c>
    </x:row>
    <x:row r="208" ht="36" customHeight="1">
      <x:c r="A208" s="60" t="str">
        <x:v>伟事达中国</x:v>
      </x:c>
      <x:c r="B208" s="60" t="str">
        <x:v>用户活跃</x:v>
      </x:c>
      <x:c r="C208" s="60" t="str">
        <x:v>转介绍</x:v>
      </x:c>
      <x:c r="D208" s="60" t="str">
        <x:v>未公开核实</x:v>
      </x:c>
      <x:c r="E208" s="60" t="str">
        <x:v>S28</x:v>
      </x:c>
      <x:c r="F208" s="60" t="str">
        <x:v>未知</x:v>
      </x:c>
      <x:c r="G208" s="60" t="str">
        <x:v>已检查官网/公开产品/活动资料；具体缺口见证据缺口表</x:v>
      </x:c>
    </x:row>
    <x:row r="209" ht="36" customHeight="1">
      <x:c r="A209" s="60" t="str">
        <x:v>耀悦</x:v>
      </x:c>
      <x:c r="B209" s="60" t="str">
        <x:v>价格</x:v>
      </x:c>
      <x:c r="C209" s="60" t="str">
        <x:v>入会费</x:v>
      </x:c>
      <x:c r="D209" s="60" t="str">
        <x:v>未公开核实</x:v>
      </x:c>
      <x:c r="E209" s="60" t="str">
        <x:v>S33</x:v>
      </x:c>
      <x:c r="F209" s="60" t="str">
        <x:v>未知</x:v>
      </x:c>
      <x:c r="G209" s="60" t="str">
        <x:v>已检查官网/公开产品/活动资料；具体缺口见证据缺口表</x:v>
      </x:c>
    </x:row>
    <x:row r="210" ht="36" customHeight="1">
      <x:c r="A210" s="60" t="str">
        <x:v>耀悦</x:v>
      </x:c>
      <x:c r="B210" s="60" t="str">
        <x:v>价格</x:v>
      </x:c>
      <x:c r="C210" s="60" t="str">
        <x:v>审核费</x:v>
      </x:c>
      <x:c r="D210" s="60" t="str">
        <x:v>未公开核实</x:v>
      </x:c>
      <x:c r="E210" s="60" t="str">
        <x:v>S33</x:v>
      </x:c>
      <x:c r="F210" s="60" t="str">
        <x:v>未知</x:v>
      </x:c>
      <x:c r="G210" s="60" t="str">
        <x:v>已检查官网/公开产品/活动资料；具体缺口见证据缺口表</x:v>
      </x:c>
    </x:row>
    <x:row r="211" ht="36" customHeight="1">
      <x:c r="A211" s="60" t="str">
        <x:v>耀悦</x:v>
      </x:c>
      <x:c r="B211" s="60" t="str">
        <x:v>价格</x:v>
      </x:c>
      <x:c r="C211" s="60" t="str">
        <x:v>年费</x:v>
      </x:c>
      <x:c r="D211" s="60" t="str">
        <x:v>未公开核实</x:v>
      </x:c>
      <x:c r="E211" s="60" t="str">
        <x:v>S33</x:v>
      </x:c>
      <x:c r="F211" s="60" t="str">
        <x:v>未知</x:v>
      </x:c>
      <x:c r="G211" s="60" t="str">
        <x:v>已检查官网/公开产品/活动资料；具体缺口见证据缺口表</x:v>
      </x:c>
    </x:row>
    <x:row r="212" ht="36" customHeight="1">
      <x:c r="A212" s="60" t="str">
        <x:v>耀悦</x:v>
      </x:c>
      <x:c r="B212" s="60" t="str">
        <x:v>价格</x:v>
      </x:c>
      <x:c r="C212" s="60" t="str">
        <x:v>首次注册费</x:v>
      </x:c>
      <x:c r="D212" s="60" t="str">
        <x:v>未公开核实</x:v>
      </x:c>
      <x:c r="E212" s="60" t="str">
        <x:v>S33</x:v>
      </x:c>
      <x:c r="F212" s="60" t="str">
        <x:v>未知</x:v>
      </x:c>
      <x:c r="G212" s="60" t="str">
        <x:v>已检查官网/公开产品/活动资料；具体缺口见证据缺口表</x:v>
      </x:c>
    </x:row>
    <x:row r="213" ht="36" customHeight="1">
      <x:c r="A213" s="60" t="str">
        <x:v>耀悦</x:v>
      </x:c>
      <x:c r="B213" s="60" t="str">
        <x:v>价格</x:v>
      </x:c>
      <x:c r="C213" s="60" t="str">
        <x:v>续费价格</x:v>
      </x:c>
      <x:c r="D213" s="60" t="str">
        <x:v>未公开核实</x:v>
      </x:c>
      <x:c r="E213" s="60" t="str">
        <x:v>S33</x:v>
      </x:c>
      <x:c r="F213" s="60" t="str">
        <x:v>未知</x:v>
      </x:c>
      <x:c r="G213" s="60" t="str">
        <x:v>已检查官网/公开产品/活动资料；具体缺口见证据缺口表</x:v>
      </x:c>
    </x:row>
    <x:row r="214" ht="36" customHeight="1">
      <x:c r="A214" s="60" t="str">
        <x:v>耀悦</x:v>
      </x:c>
      <x:c r="B214" s="60" t="str">
        <x:v>价格</x:v>
      </x:c>
      <x:c r="C214" s="60" t="str">
        <x:v>服务期限</x:v>
      </x:c>
      <x:c r="D214" s="60" t="str">
        <x:v>未公开核实</x:v>
      </x:c>
      <x:c r="E214" s="60" t="str">
        <x:v>S33</x:v>
      </x:c>
      <x:c r="F214" s="60" t="str">
        <x:v>未知</x:v>
      </x:c>
      <x:c r="G214" s="60" t="str">
        <x:v>已检查官网/公开产品/活动资料；具体缺口见证据缺口表</x:v>
      </x:c>
    </x:row>
    <x:row r="215" ht="36" customHeight="1">
      <x:c r="A215" s="60" t="str">
        <x:v>耀悦</x:v>
      </x:c>
      <x:c r="B215" s="60" t="str">
        <x:v>价格</x:v>
      </x:c>
      <x:c r="C215" s="60" t="str">
        <x:v>自动续费</x:v>
      </x:c>
      <x:c r="D215" s="60" t="str">
        <x:v>未公开核实</x:v>
      </x:c>
      <x:c r="E215" s="60" t="str">
        <x:v>S33</x:v>
      </x:c>
      <x:c r="F215" s="60" t="str">
        <x:v>未知</x:v>
      </x:c>
      <x:c r="G215" s="60" t="str">
        <x:v>已检查官网/公开产品/活动资料；具体缺口见证据缺口表</x:v>
      </x:c>
    </x:row>
    <x:row r="216" ht="36" customHeight="1">
      <x:c r="A216" s="60" t="str">
        <x:v>耀悦</x:v>
      </x:c>
      <x:c r="B216" s="60" t="str">
        <x:v>价格</x:v>
      </x:c>
      <x:c r="C216" s="60" t="str">
        <x:v>会员等级价格</x:v>
      </x:c>
      <x:c r="D216" s="60" t="str">
        <x:v>未公开核实</x:v>
      </x:c>
      <x:c r="E216" s="60" t="str">
        <x:v>S33</x:v>
      </x:c>
      <x:c r="F216" s="60" t="str">
        <x:v>未知</x:v>
      </x:c>
      <x:c r="G216" s="60" t="str">
        <x:v>已检查官网/公开产品/活动资料；具体缺口见证据缺口表</x:v>
      </x:c>
    </x:row>
    <x:row r="217" ht="36" customHeight="1">
      <x:c r="A217" s="60" t="str">
        <x:v>耀悦</x:v>
      </x:c>
      <x:c r="B217" s="60" t="str">
        <x:v>价格</x:v>
      </x:c>
      <x:c r="C217" s="60" t="str">
        <x:v>升级规则</x:v>
      </x:c>
      <x:c r="D217" s="60" t="str">
        <x:v>未公开核实</x:v>
      </x:c>
      <x:c r="E217" s="60" t="str">
        <x:v>S33</x:v>
      </x:c>
      <x:c r="F217" s="60" t="str">
        <x:v>未知</x:v>
      </x:c>
      <x:c r="G217" s="60" t="str">
        <x:v>已检查官网/公开产品/活动资料；具体缺口见证据缺口表</x:v>
      </x:c>
    </x:row>
    <x:row r="218" ht="36" customHeight="1">
      <x:c r="A218" s="60" t="str">
        <x:v>耀悦</x:v>
      </x:c>
      <x:c r="B218" s="60" t="str">
        <x:v>价格</x:v>
      </x:c>
      <x:c r="C218" s="60" t="str">
        <x:v>降级规则</x:v>
      </x:c>
      <x:c r="D218" s="60" t="str">
        <x:v>未公开核实</x:v>
      </x:c>
      <x:c r="E218" s="60" t="str">
        <x:v>S33</x:v>
      </x:c>
      <x:c r="F218" s="60" t="str">
        <x:v>未知</x:v>
      </x:c>
      <x:c r="G218" s="60" t="str">
        <x:v>已检查官网/公开产品/活动资料；具体缺口见证据缺口表</x:v>
      </x:c>
    </x:row>
    <x:row r="219" ht="36" customHeight="1">
      <x:c r="A219" s="60" t="str">
        <x:v>耀悦</x:v>
      </x:c>
      <x:c r="B219" s="60" t="str">
        <x:v>价格</x:v>
      </x:c>
      <x:c r="C219" s="60" t="str">
        <x:v>会员活动价</x:v>
      </x:c>
      <x:c r="D219" s="60" t="str">
        <x:v>未公开核实</x:v>
      </x:c>
      <x:c r="E219" s="60" t="str">
        <x:v>S33</x:v>
      </x:c>
      <x:c r="F219" s="60" t="str">
        <x:v>未知</x:v>
      </x:c>
      <x:c r="G219" s="60" t="str">
        <x:v>已检查官网/公开产品/活动资料；具体缺口见证据缺口表</x:v>
      </x:c>
    </x:row>
    <x:row r="220" ht="36" customHeight="1">
      <x:c r="A220" s="60" t="str">
        <x:v>耀悦</x:v>
      </x:c>
      <x:c r="B220" s="60" t="str">
        <x:v>价格</x:v>
      </x:c>
      <x:c r="C220" s="60" t="str">
        <x:v>非会员活动价</x:v>
      </x:c>
      <x:c r="D220" s="60" t="str">
        <x:v>未公开核实</x:v>
      </x:c>
      <x:c r="E220" s="60" t="str">
        <x:v>S33</x:v>
      </x:c>
      <x:c r="F220" s="60" t="str">
        <x:v>未知</x:v>
      </x:c>
      <x:c r="G220" s="60" t="str">
        <x:v>已检查官网/公开产品/活动资料；具体缺口见证据缺口表</x:v>
      </x:c>
    </x:row>
    <x:row r="221" ht="36" customHeight="1">
      <x:c r="A221" s="60" t="str">
        <x:v>耀悦</x:v>
      </x:c>
      <x:c r="B221" s="60" t="str">
        <x:v>价格</x:v>
      </x:c>
      <x:c r="C221" s="60" t="str">
        <x:v>体验价</x:v>
      </x:c>
      <x:c r="D221" s="60" t="str">
        <x:v>未公开核实</x:v>
      </x:c>
      <x:c r="E221" s="60" t="str">
        <x:v>S33</x:v>
      </x:c>
      <x:c r="F221" s="60" t="str">
        <x:v>未知</x:v>
      </x:c>
      <x:c r="G221" s="60" t="str">
        <x:v>已检查官网/公开产品/活动资料；具体缺口见证据缺口表</x:v>
      </x:c>
    </x:row>
    <x:row r="222" ht="36" customHeight="1">
      <x:c r="A222" s="60" t="str">
        <x:v>耀悦</x:v>
      </x:c>
      <x:c r="B222" s="60" t="str">
        <x:v>价格</x:v>
      </x:c>
      <x:c r="C222" s="60" t="str">
        <x:v>早鸟价</x:v>
      </x:c>
      <x:c r="D222" s="60" t="str">
        <x:v>未公开核实</x:v>
      </x:c>
      <x:c r="E222" s="60" t="str">
        <x:v>S33</x:v>
      </x:c>
      <x:c r="F222" s="60" t="str">
        <x:v>未知</x:v>
      </x:c>
      <x:c r="G222" s="60" t="str">
        <x:v>已检查官网/公开产品/活动资料；具体缺口见证据缺口表</x:v>
      </x:c>
    </x:row>
    <x:row r="223" ht="36" customHeight="1">
      <x:c r="A223" s="60" t="str">
        <x:v>耀悦</x:v>
      </x:c>
      <x:c r="B223" s="60" t="str">
        <x:v>价格</x:v>
      </x:c>
      <x:c r="C223" s="60" t="str">
        <x:v>带客价</x:v>
      </x:c>
      <x:c r="D223" s="60" t="str">
        <x:v>未公开核实</x:v>
      </x:c>
      <x:c r="E223" s="60" t="str">
        <x:v>S33</x:v>
      </x:c>
      <x:c r="F223" s="60" t="str">
        <x:v>未知</x:v>
      </x:c>
      <x:c r="G223" s="60" t="str">
        <x:v>已检查官网/公开产品/活动资料；具体缺口见证据缺口表</x:v>
      </x:c>
    </x:row>
    <x:row r="224" ht="36" customHeight="1">
      <x:c r="A224" s="60" t="str">
        <x:v>耀悦</x:v>
      </x:c>
      <x:c r="B224" s="60" t="str">
        <x:v>价格</x:v>
      </x:c>
      <x:c r="C224" s="60" t="str">
        <x:v>旅行价格</x:v>
      </x:c>
      <x:c r="D224" s="60" t="str">
        <x:v>南澳49500元/人起；南极119000元/人；异常1.38万元另列</x:v>
      </x:c>
      <x:c r="E224" s="60" t="str">
        <x:v>X03-09 X03-03 X03-01</x:v>
      </x:c>
      <x:c r="F224" s="60" t="str">
        <x:v>已找到部分证据</x:v>
      </x:c>
      <x:c r="G224" s="60" t="str">
        <x:v>已检查官网/公开产品/活动资料；具体缺口见证据缺口表</x:v>
      </x:c>
    </x:row>
    <x:row r="225" ht="36" customHeight="1">
      <x:c r="A225" s="60" t="str">
        <x:v>耀悦</x:v>
      </x:c>
      <x:c r="B225" s="60" t="str">
        <x:v>价格</x:v>
      </x:c>
      <x:c r="C225" s="60" t="str">
        <x:v>旅行天数</x:v>
      </x:c>
      <x:c r="D225" s="60" t="str">
        <x:v>南澳11天；南极8天；原官网示例另列</x:v>
      </x:c>
      <x:c r="E225" s="60" t="str">
        <x:v>X03-09 X03-03 S33</x:v>
      </x:c>
      <x:c r="F225" s="60" t="str">
        <x:v>已找到部分证据</x:v>
      </x:c>
      <x:c r="G225" s="60" t="str">
        <x:v>已检查官网/公开产品/活动资料；具体缺口见证据缺口表</x:v>
      </x:c>
    </x:row>
    <x:row r="226" ht="36" customHeight="1">
      <x:c r="A226" s="60" t="str">
        <x:v>耀悦</x:v>
      </x:c>
      <x:c r="B226" s="60" t="str">
        <x:v>价格</x:v>
      </x:c>
      <x:c r="C226" s="60" t="str">
        <x:v>旅行人数</x:v>
      </x:c>
      <x:c r="D226" s="60" t="str">
        <x:v>南澳4人私享；不是实际成交人数</x:v>
      </x:c>
      <x:c r="E226" s="60" t="str">
        <x:v>X03-09</x:v>
      </x:c>
      <x:c r="F226" s="60" t="str">
        <x:v>已找到部分证据</x:v>
      </x:c>
      <x:c r="G226" s="60" t="str">
        <x:v>已检查官网/公开产品/活动资料；具体缺口见证据缺口表</x:v>
      </x:c>
    </x:row>
    <x:row r="227" ht="36" customHeight="1">
      <x:c r="A227" s="60" t="str">
        <x:v>耀悦</x:v>
      </x:c>
      <x:c r="B227" s="60" t="str">
        <x:v>价格</x:v>
      </x:c>
      <x:c r="C227" s="60" t="str">
        <x:v>住宿标准</x:v>
      </x:c>
      <x:c r="D227" s="60" t="str">
        <x:v>南澳含丽思卡尔顿与野奢营地等描述，房型清单待核</x:v>
      </x:c>
      <x:c r="E227" s="60" t="str">
        <x:v>X03-09</x:v>
      </x:c>
      <x:c r="F227" s="60" t="str">
        <x:v>已找到部分证据</x:v>
      </x:c>
      <x:c r="G227" s="60" t="str">
        <x:v>已检查官网/公开产品/活动资料；具体缺口见证据缺口表</x:v>
      </x:c>
    </x:row>
    <x:row r="228" ht="36" customHeight="1">
      <x:c r="A228" s="60" t="str">
        <x:v>耀悦</x:v>
      </x:c>
      <x:c r="B228" s="60" t="str">
        <x:v>价格</x:v>
      </x:c>
      <x:c r="C228" s="60" t="str">
        <x:v>交通及机票</x:v>
      </x:c>
      <x:c r="D228" s="60" t="str">
        <x:v>首页不能确认是否含国际机票与单房差</x:v>
      </x:c>
      <x:c r="E228" s="60" t="str">
        <x:v>S33</x:v>
      </x:c>
      <x:c r="F228" s="60" t="str">
        <x:v>已找到部分证据</x:v>
      </x:c>
      <x:c r="G228" s="60" t="str">
        <x:v>已检查官网/公开产品/活动资料；具体缺口见证据缺口表</x:v>
      </x:c>
    </x:row>
    <x:row r="229" ht="36" customHeight="1">
      <x:c r="A229" s="60" t="str">
        <x:v>耀悦</x:v>
      </x:c>
      <x:c r="B229" s="60" t="str">
        <x:v>价格</x:v>
      </x:c>
      <x:c r="C229" s="60" t="str">
        <x:v>私董会价格</x:v>
      </x:c>
      <x:c r="D229" s="60" t="str">
        <x:v>未公开核实</x:v>
      </x:c>
      <x:c r="E229" s="60" t="str">
        <x:v>S33</x:v>
      </x:c>
      <x:c r="F229" s="60" t="str">
        <x:v>未知</x:v>
      </x:c>
      <x:c r="G229" s="60" t="str">
        <x:v>已检查官网/公开产品/活动资料；具体缺口见证据缺口表</x:v>
      </x:c>
    </x:row>
    <x:row r="230" ht="36" customHeight="1">
      <x:c r="A230" s="60" t="str">
        <x:v>耀悦</x:v>
      </x:c>
      <x:c r="B230" s="60" t="str">
        <x:v>价格</x:v>
      </x:c>
      <x:c r="C230" s="60" t="str">
        <x:v>参访价格</x:v>
      </x:c>
      <x:c r="D230" s="60" t="str">
        <x:v>未公开核实</x:v>
      </x:c>
      <x:c r="E230" s="60" t="str">
        <x:v>S33</x:v>
      </x:c>
      <x:c r="F230" s="60" t="str">
        <x:v>未知</x:v>
      </x:c>
      <x:c r="G230" s="60" t="str">
        <x:v>已检查官网/公开产品/活动资料；具体缺口见证据缺口表</x:v>
      </x:c>
    </x:row>
    <x:row r="231" ht="36" customHeight="1">
      <x:c r="A231" s="60" t="str">
        <x:v>耀悦</x:v>
      </x:c>
      <x:c r="B231" s="60" t="str">
        <x:v>价格</x:v>
      </x:c>
      <x:c r="C231" s="60" t="str">
        <x:v>导师配置</x:v>
      </x:c>
      <x:c r="D231" s="60" t="str">
        <x:v>未公开核实</x:v>
      </x:c>
      <x:c r="E231" s="60" t="str">
        <x:v>S33</x:v>
      </x:c>
      <x:c r="F231" s="60" t="str">
        <x:v>未知</x:v>
      </x:c>
      <x:c r="G231" s="60" t="str">
        <x:v>已检查官网/公开产品/活动资料；具体缺口见证据缺口表</x:v>
      </x:c>
    </x:row>
    <x:row r="232" ht="36" customHeight="1">
      <x:c r="A232" s="60" t="str">
        <x:v>耀悦</x:v>
      </x:c>
      <x:c r="B232" s="60" t="str">
        <x:v>价格</x:v>
      </x:c>
      <x:c r="C232" s="60" t="str">
        <x:v>婚恋服务期</x:v>
      </x:c>
      <x:c r="D232" s="60" t="str">
        <x:v>未公开核实</x:v>
      </x:c>
      <x:c r="E232" s="60" t="str">
        <x:v>S33</x:v>
      </x:c>
      <x:c r="F232" s="60" t="str">
        <x:v>未知</x:v>
      </x:c>
      <x:c r="G232" s="60" t="str">
        <x:v>已检查官网/公开产品/活动资料；具体缺口见证据缺口表</x:v>
      </x:c>
    </x:row>
    <x:row r="233" ht="36" customHeight="1">
      <x:c r="A233" s="60" t="str">
        <x:v>耀悦</x:v>
      </x:c>
      <x:c r="B233" s="60" t="str">
        <x:v>价格</x:v>
      </x:c>
      <x:c r="C233" s="60" t="str">
        <x:v>婚恋介绍次数</x:v>
      </x:c>
      <x:c r="D233" s="60" t="str">
        <x:v>未公开核实</x:v>
      </x:c>
      <x:c r="E233" s="60" t="str">
        <x:v>S33</x:v>
      </x:c>
      <x:c r="F233" s="60" t="str">
        <x:v>未知</x:v>
      </x:c>
      <x:c r="G233" s="60" t="str">
        <x:v>已检查官网/公开产品/活动资料；具体缺口见证据缺口表</x:v>
      </x:c>
    </x:row>
    <x:row r="234" ht="36" customHeight="1">
      <x:c r="A234" s="60" t="str">
        <x:v>耀悦</x:v>
      </x:c>
      <x:c r="B234" s="60" t="str">
        <x:v>价格</x:v>
      </x:c>
      <x:c r="C234" s="60" t="str">
        <x:v>婚恋匹配范围</x:v>
      </x:c>
      <x:c r="D234" s="60" t="str">
        <x:v>未公开核实</x:v>
      </x:c>
      <x:c r="E234" s="60" t="str">
        <x:v>S33</x:v>
      </x:c>
      <x:c r="F234" s="60" t="str">
        <x:v>未知</x:v>
      </x:c>
      <x:c r="G234" s="60" t="str">
        <x:v>已检查官网/公开产品/活动资料；具体缺口见证据缺口表</x:v>
      </x:c>
    </x:row>
    <x:row r="235" ht="36" customHeight="1">
      <x:c r="A235" s="60" t="str">
        <x:v>耀悦</x:v>
      </x:c>
      <x:c r="B235" s="60" t="str">
        <x:v>价格</x:v>
      </x:c>
      <x:c r="C235" s="60" t="str">
        <x:v>顾问服务</x:v>
      </x:c>
      <x:c r="D235" s="60" t="str">
        <x:v>未公开核实</x:v>
      </x:c>
      <x:c r="E235" s="60" t="str">
        <x:v>S33</x:v>
      </x:c>
      <x:c r="F235" s="60" t="str">
        <x:v>未知</x:v>
      </x:c>
      <x:c r="G235" s="60" t="str">
        <x:v>已检查官网/公开产品/活动资料；具体缺口见证据缺口表</x:v>
      </x:c>
    </x:row>
    <x:row r="236" ht="36" customHeight="1">
      <x:c r="A236" s="60" t="str">
        <x:v>耀悦</x:v>
      </x:c>
      <x:c r="B236" s="60" t="str">
        <x:v>价格</x:v>
      </x:c>
      <x:c r="C236" s="60" t="str">
        <x:v>伴侣价格</x:v>
      </x:c>
      <x:c r="D236" s="60" t="str">
        <x:v>未公开核实</x:v>
      </x:c>
      <x:c r="E236" s="60" t="str">
        <x:v>S33</x:v>
      </x:c>
      <x:c r="F236" s="60" t="str">
        <x:v>未知</x:v>
      </x:c>
      <x:c r="G236" s="60" t="str">
        <x:v>已检查官网/公开产品/活动资料；具体缺口见证据缺口表</x:v>
      </x:c>
    </x:row>
    <x:row r="237" ht="36" customHeight="1">
      <x:c r="A237" s="60" t="str">
        <x:v>耀悦</x:v>
      </x:c>
      <x:c r="B237" s="60" t="str">
        <x:v>价格</x:v>
      </x:c>
      <x:c r="C237" s="60" t="str">
        <x:v>家庭价格</x:v>
      </x:c>
      <x:c r="D237" s="60" t="str">
        <x:v>未公开核实</x:v>
      </x:c>
      <x:c r="E237" s="60" t="str">
        <x:v>S33</x:v>
      </x:c>
      <x:c r="F237" s="60" t="str">
        <x:v>未知</x:v>
      </x:c>
      <x:c r="G237" s="60" t="str">
        <x:v>已检查官网/公开产品/活动资料；具体缺口见证据缺口表</x:v>
      </x:c>
    </x:row>
    <x:row r="238" ht="36" customHeight="1">
      <x:c r="A238" s="60" t="str">
        <x:v>耀悦</x:v>
      </x:c>
      <x:c r="B238" s="60" t="str">
        <x:v>价格</x:v>
      </x:c>
      <x:c r="C238" s="60" t="str">
        <x:v>退款规则</x:v>
      </x:c>
      <x:c r="D238" s="60" t="str">
        <x:v>未公开核实</x:v>
      </x:c>
      <x:c r="E238" s="60" t="str">
        <x:v>S33</x:v>
      </x:c>
      <x:c r="F238" s="60" t="str">
        <x:v>未知</x:v>
      </x:c>
      <x:c r="G238" s="60" t="str">
        <x:v>已检查官网/公开产品/活动资料；具体缺口见证据缺口表</x:v>
      </x:c>
    </x:row>
    <x:row r="239" ht="36" customHeight="1">
      <x:c r="A239" s="60" t="str">
        <x:v>耀悦</x:v>
      </x:c>
      <x:c r="B239" s="60" t="str">
        <x:v>价格</x:v>
      </x:c>
      <x:c r="C239" s="60" t="str">
        <x:v>取消规则</x:v>
      </x:c>
      <x:c r="D239" s="60" t="str">
        <x:v>未公开核实</x:v>
      </x:c>
      <x:c r="E239" s="60" t="str">
        <x:v>S33</x:v>
      </x:c>
      <x:c r="F239" s="60" t="str">
        <x:v>未知</x:v>
      </x:c>
      <x:c r="G239" s="60" t="str">
        <x:v>已检查官网/公开产品/活动资料；具体缺口见证据缺口表</x:v>
      </x:c>
    </x:row>
    <x:row r="240" ht="36" customHeight="1">
      <x:c r="A240" s="60" t="str">
        <x:v>耀悦</x:v>
      </x:c>
      <x:c r="B240" s="60" t="str">
        <x:v>价格</x:v>
      </x:c>
      <x:c r="C240" s="60" t="str">
        <x:v>转让规则</x:v>
      </x:c>
      <x:c r="D240" s="60" t="str">
        <x:v>未公开核实</x:v>
      </x:c>
      <x:c r="E240" s="60" t="str">
        <x:v>S33</x:v>
      </x:c>
      <x:c r="F240" s="60" t="str">
        <x:v>未知</x:v>
      </x:c>
      <x:c r="G240" s="60" t="str">
        <x:v>已检查官网/公开产品/活动资料；具体缺口见证据缺口表</x:v>
      </x:c>
    </x:row>
    <x:row r="241" ht="36" customHeight="1">
      <x:c r="A241" s="60" t="str">
        <x:v>耀悦</x:v>
      </x:c>
      <x:c r="B241" s="60" t="str">
        <x:v>价格</x:v>
      </x:c>
      <x:c r="C241" s="60" t="str">
        <x:v>价格变化</x:v>
      </x:c>
      <x:c r="D241" s="60" t="str">
        <x:v>未公开核实</x:v>
      </x:c>
      <x:c r="E241" s="60" t="str">
        <x:v>S33</x:v>
      </x:c>
      <x:c r="F241" s="60" t="str">
        <x:v>未知</x:v>
      </x:c>
      <x:c r="G241" s="60" t="str">
        <x:v>已检查官网/公开产品/活动资料；具体缺口见证据缺口表</x:v>
      </x:c>
    </x:row>
    <x:row r="242" ht="36" customHeight="1">
      <x:c r="A242" s="60" t="str">
        <x:v>耀悦</x:v>
      </x:c>
      <x:c r="B242" s="60" t="str">
        <x:v>产品</x:v>
      </x:c>
      <x:c r="C242" s="60" t="str">
        <x:v>产品类别</x:v>
      </x:c>
      <x:c r="D242" s="60" t="str">
        <x:v>私享游 招募团 游学 列车邮轮 定制</x:v>
      </x:c>
      <x:c r="E242" s="60" t="str">
        <x:v>S33</x:v>
      </x:c>
      <x:c r="F242" s="60" t="str">
        <x:v>已找到部分证据</x:v>
      </x:c>
      <x:c r="G242" s="60" t="str">
        <x:v>已检查官网/公开产品/活动资料；具体缺口见证据缺口表</x:v>
      </x:c>
    </x:row>
    <x:row r="243" ht="36" customHeight="1">
      <x:c r="A243" s="60" t="str">
        <x:v>耀悦</x:v>
      </x:c>
      <x:c r="B243" s="60" t="str">
        <x:v>产品</x:v>
      </x:c>
      <x:c r="C243" s="60" t="str">
        <x:v>核心需求</x:v>
      </x:c>
      <x:c r="D243" s="60" t="str">
        <x:v>旅行与文化体验，社交筛选需求未证实</x:v>
      </x:c>
      <x:c r="E243" s="60" t="str">
        <x:v>S33</x:v>
      </x:c>
      <x:c r="F243" s="60" t="str">
        <x:v>已找到部分证据</x:v>
      </x:c>
      <x:c r="G243" s="60" t="str">
        <x:v>已检查官网/公开产品/活动资料；具体缺口见证据缺口表</x:v>
      </x:c>
    </x:row>
    <x:row r="244" ht="36" customHeight="1">
      <x:c r="A244" s="60" t="str">
        <x:v>耀悦</x:v>
      </x:c>
      <x:c r="B244" s="60" t="str">
        <x:v>产品</x:v>
      </x:c>
      <x:c r="C244" s="60" t="str">
        <x:v>对外承诺</x:v>
      </x:c>
      <x:c r="D244" s="60" t="str">
        <x:v>未公开核实</x:v>
      </x:c>
      <x:c r="E244" s="60" t="str">
        <x:v>S33</x:v>
      </x:c>
      <x:c r="F244" s="60" t="str">
        <x:v>未知</x:v>
      </x:c>
      <x:c r="G244" s="60" t="str">
        <x:v>已检查官网/公开产品/活动资料；具体缺口见证据缺口表</x:v>
      </x:c>
    </x:row>
    <x:row r="245" ht="36" customHeight="1">
      <x:c r="A245" s="60" t="str">
        <x:v>耀悦</x:v>
      </x:c>
      <x:c r="B245" s="60" t="str">
        <x:v>产品</x:v>
      </x:c>
      <x:c r="C245" s="60" t="str">
        <x:v>收费模式</x:v>
      </x:c>
      <x:c r="D245" s="60" t="str">
        <x:v>按产品或顾问定制；未证实付费年费</x:v>
      </x:c>
      <x:c r="E245" s="60" t="str">
        <x:v>S33 S34</x:v>
      </x:c>
      <x:c r="F245" s="60" t="str">
        <x:v>已找到部分证据</x:v>
      </x:c>
      <x:c r="G245" s="60" t="str">
        <x:v>已检查官网/公开产品/活动资料；具体缺口见证据缺口表</x:v>
      </x:c>
    </x:row>
    <x:row r="246" ht="36" customHeight="1">
      <x:c r="A246" s="60" t="str">
        <x:v>耀悦</x:v>
      </x:c>
      <x:c r="B246" s="60" t="str">
        <x:v>产品</x:v>
      </x:c>
      <x:c r="C246" s="60" t="str">
        <x:v>服务频次</x:v>
      </x:c>
      <x:c r="D246" s="60" t="str">
        <x:v>未公开核实</x:v>
      </x:c>
      <x:c r="E246" s="60" t="str">
        <x:v>S33</x:v>
      </x:c>
      <x:c r="F246" s="60" t="str">
        <x:v>未知</x:v>
      </x:c>
      <x:c r="G246" s="60" t="str">
        <x:v>已检查官网/公开产品/活动资料；具体缺口见证据缺口表</x:v>
      </x:c>
    </x:row>
    <x:row r="247" ht="36" customHeight="1">
      <x:c r="A247" s="60" t="str">
        <x:v>耀悦</x:v>
      </x:c>
      <x:c r="B247" s="60" t="str">
        <x:v>产品</x:v>
      </x:c>
      <x:c r="C247" s="60" t="str">
        <x:v>线上线下比例</x:v>
      </x:c>
      <x:c r="D247" s="60" t="str">
        <x:v>未公开核实</x:v>
      </x:c>
      <x:c r="E247" s="60" t="str">
        <x:v>S33</x:v>
      </x:c>
      <x:c r="F247" s="60" t="str">
        <x:v>未知</x:v>
      </x:c>
      <x:c r="G247" s="60" t="str">
        <x:v>已检查官网/公开产品/活动资料；具体缺口见证据缺口表</x:v>
      </x:c>
    </x:row>
    <x:row r="248" ht="36" customHeight="1">
      <x:c r="A248" s="60" t="str">
        <x:v>耀悦</x:v>
      </x:c>
      <x:c r="B248" s="60" t="str">
        <x:v>产品</x:v>
      </x:c>
      <x:c r="C248" s="60" t="str">
        <x:v>城市范围</x:v>
      </x:c>
      <x:c r="D248" s="60" t="str">
        <x:v>全国客源与全球目的地 出发地按线路</x:v>
      </x:c>
      <x:c r="E248" s="60" t="str">
        <x:v>S33</x:v>
      </x:c>
      <x:c r="F248" s="60" t="str">
        <x:v>已找到部分证据</x:v>
      </x:c>
      <x:c r="G248" s="60" t="str">
        <x:v>已检查官网/公开产品/活动资料；具体缺口见证据缺口表</x:v>
      </x:c>
    </x:row>
    <x:row r="249" ht="36" customHeight="1">
      <x:c r="A249" s="60" t="str">
        <x:v>耀悦</x:v>
      </x:c>
      <x:c r="B249" s="60" t="str">
        <x:v>产品</x:v>
      </x:c>
      <x:c r="C249" s="60" t="str">
        <x:v>包含名额</x:v>
      </x:c>
      <x:c r="D249" s="60" t="str">
        <x:v>未公开核实</x:v>
      </x:c>
      <x:c r="E249" s="60" t="str">
        <x:v>S33</x:v>
      </x:c>
      <x:c r="F249" s="60" t="str">
        <x:v>未知</x:v>
      </x:c>
      <x:c r="G249" s="60" t="str">
        <x:v>已检查官网/公开产品/活动资料；具体缺口见证据缺口表</x:v>
      </x:c>
    </x:row>
    <x:row r="250" ht="36" customHeight="1">
      <x:c r="A250" s="60" t="str">
        <x:v>耀悦</x:v>
      </x:c>
      <x:c r="B250" s="60" t="str">
        <x:v>产品</x:v>
      </x:c>
      <x:c r="C250" s="60" t="str">
        <x:v>额外收费</x:v>
      </x:c>
      <x:c r="D250" s="60" t="str">
        <x:v>未公开核实</x:v>
      </x:c>
      <x:c r="E250" s="60" t="str">
        <x:v>S33</x:v>
      </x:c>
      <x:c r="F250" s="60" t="str">
        <x:v>未知</x:v>
      </x:c>
      <x:c r="G250" s="60" t="str">
        <x:v>已检查官网/公开产品/活动资料；具体缺口见证据缺口表</x:v>
      </x:c>
    </x:row>
    <x:row r="251" ht="36" customHeight="1">
      <x:c r="A251" s="60" t="str">
        <x:v>耀悦</x:v>
      </x:c>
      <x:c r="B251" s="60" t="str">
        <x:v>产品</x:v>
      </x:c>
      <x:c r="C251" s="60" t="str">
        <x:v>预约候补</x:v>
      </x:c>
      <x:c r="D251" s="60" t="str">
        <x:v>未公开核实</x:v>
      </x:c>
      <x:c r="E251" s="60" t="str">
        <x:v>S33</x:v>
      </x:c>
      <x:c r="F251" s="60" t="str">
        <x:v>未知</x:v>
      </x:c>
      <x:c r="G251" s="60" t="str">
        <x:v>已检查官网/公开产品/活动资料；具体缺口见证据缺口表</x:v>
      </x:c>
    </x:row>
    <x:row r="252" ht="36" customHeight="1">
      <x:c r="A252" s="60" t="str">
        <x:v>耀悦</x:v>
      </x:c>
      <x:c r="B252" s="60" t="str">
        <x:v>产品</x:v>
      </x:c>
      <x:c r="C252" s="60" t="str">
        <x:v>非会员参加</x:v>
      </x:c>
      <x:c r="D252" s="60" t="str">
        <x:v>未公开核实</x:v>
      </x:c>
      <x:c r="E252" s="60" t="str">
        <x:v>S33</x:v>
      </x:c>
      <x:c r="F252" s="60" t="str">
        <x:v>未知</x:v>
      </x:c>
      <x:c r="G252" s="60" t="str">
        <x:v>已检查官网/公开产品/活动资料；具体缺口见证据缺口表</x:v>
      </x:c>
    </x:row>
    <x:row r="253" ht="36" customHeight="1">
      <x:c r="A253" s="60" t="str">
        <x:v>耀悦</x:v>
      </x:c>
      <x:c r="B253" s="60" t="str">
        <x:v>产品</x:v>
      </x:c>
      <x:c r="C253" s="60" t="str">
        <x:v>带朋友或伴侣</x:v>
      </x:c>
      <x:c r="D253" s="60" t="str">
        <x:v>定制说明有家庭场景；具体产品规则待核</x:v>
      </x:c>
      <x:c r="E253" s="60" t="str">
        <x:v>S34</x:v>
      </x:c>
      <x:c r="F253" s="60" t="str">
        <x:v>已找到部分证据</x:v>
      </x:c>
      <x:c r="G253" s="60" t="str">
        <x:v>已检查官网/公开产品/活动资料；具体缺口见证据缺口表</x:v>
      </x:c>
    </x:row>
    <x:row r="254" ht="36" customHeight="1">
      <x:c r="A254" s="60" t="str">
        <x:v>耀悦</x:v>
      </x:c>
      <x:c r="B254" s="60" t="str">
        <x:v>产品</x:v>
      </x:c>
      <x:c r="C254" s="60" t="str">
        <x:v>体验至升级路径</x:v>
      </x:c>
      <x:c r="D254" s="60" t="str">
        <x:v>未公开核实</x:v>
      </x:c>
      <x:c r="E254" s="60" t="str">
        <x:v>S33</x:v>
      </x:c>
      <x:c r="F254" s="60" t="str">
        <x:v>未知</x:v>
      </x:c>
      <x:c r="G254" s="60" t="str">
        <x:v>已检查官网/公开产品/活动资料；具体缺口见证据缺口表</x:v>
      </x:c>
    </x:row>
    <x:row r="255" ht="36" customHeight="1">
      <x:c r="A255" s="60" t="str">
        <x:v>耀悦</x:v>
      </x:c>
      <x:c r="B255" s="60" t="str">
        <x:v>产品</x:v>
      </x:c>
      <x:c r="C255" s="60" t="str">
        <x:v>自有或合作交付</x:v>
      </x:c>
      <x:c r="D255" s="60" t="str">
        <x:v>顾问与高端服务伙伴网络 自述</x:v>
      </x:c>
      <x:c r="E255" s="60" t="str">
        <x:v>S34</x:v>
      </x:c>
      <x:c r="F255" s="60" t="str">
        <x:v>已找到部分证据</x:v>
      </x:c>
      <x:c r="G255" s="60" t="str">
        <x:v>已检查官网/公开产品/活动资料；具体缺口见证据缺口表</x:v>
      </x:c>
    </x:row>
    <x:row r="256" ht="36" customHeight="1">
      <x:c r="A256" s="60" t="str">
        <x:v>耀悦</x:v>
      </x:c>
      <x:c r="B256" s="60" t="str">
        <x:v>产品</x:v>
      </x:c>
      <x:c r="C256" s="60" t="str">
        <x:v>关系状态参与规则</x:v>
      </x:c>
      <x:c r="D256" s="60" t="str">
        <x:v>未公开核实</x:v>
      </x:c>
      <x:c r="E256" s="60" t="str">
        <x:v>S33</x:v>
      </x:c>
      <x:c r="F256" s="60" t="str">
        <x:v>未知</x:v>
      </x:c>
      <x:c r="G256" s="60" t="str">
        <x:v>已检查官网/公开产品/活动资料；具体缺口见证据缺口表</x:v>
      </x:c>
    </x:row>
    <x:row r="257" ht="36" customHeight="1">
      <x:c r="A257" s="60" t="str">
        <x:v>耀悦</x:v>
      </x:c>
      <x:c r="B257" s="60" t="str">
        <x:v>产品</x:v>
      </x:c>
      <x:c r="C257" s="60" t="str">
        <x:v>交叉销售证据</x:v>
      </x:c>
      <x:c r="D257" s="60" t="str">
        <x:v>未公开核实</x:v>
      </x:c>
      <x:c r="E257" s="60" t="str">
        <x:v>S33</x:v>
      </x:c>
      <x:c r="F257" s="60" t="str">
        <x:v>未知</x:v>
      </x:c>
      <x:c r="G257" s="60" t="str">
        <x:v>已检查官网/公开产品/活动资料；具体缺口见证据缺口表</x:v>
      </x:c>
    </x:row>
    <x:row r="258" ht="36" customHeight="1">
      <x:c r="A258" s="60" t="str">
        <x:v>耀悦</x:v>
      </x:c>
      <x:c r="B258" s="60" t="str">
        <x:v>客户</x:v>
      </x:c>
      <x:c r="C258" s="60" t="str">
        <x:v>城市</x:v>
      </x:c>
      <x:c r="D258" s="60" t="str">
        <x:v>未公开核实</x:v>
      </x:c>
      <x:c r="E258" s="60" t="str">
        <x:v>S33</x:v>
      </x:c>
      <x:c r="F258" s="60" t="str">
        <x:v>未知</x:v>
      </x:c>
      <x:c r="G258" s="60" t="str">
        <x:v>已检查官网/公开产品/活动资料；具体缺口见证据缺口表</x:v>
      </x:c>
    </x:row>
    <x:row r="259" ht="36" customHeight="1">
      <x:c r="A259" s="60" t="str">
        <x:v>耀悦</x:v>
      </x:c>
      <x:c r="B259" s="60" t="str">
        <x:v>客户</x:v>
      </x:c>
      <x:c r="C259" s="60" t="str">
        <x:v>年龄</x:v>
      </x:c>
      <x:c r="D259" s="60" t="str">
        <x:v>未公开核实</x:v>
      </x:c>
      <x:c r="E259" s="60" t="str">
        <x:v>S33</x:v>
      </x:c>
      <x:c r="F259" s="60" t="str">
        <x:v>未知</x:v>
      </x:c>
      <x:c r="G259" s="60" t="str">
        <x:v>已检查官网/公开产品/活动资料；具体缺口见证据缺口表</x:v>
      </x:c>
    </x:row>
    <x:row r="260" ht="36" customHeight="1">
      <x:c r="A260" s="60" t="str">
        <x:v>耀悦</x:v>
      </x:c>
      <x:c r="B260" s="60" t="str">
        <x:v>客户</x:v>
      </x:c>
      <x:c r="C260" s="60" t="str">
        <x:v>性别结构</x:v>
      </x:c>
      <x:c r="D260" s="60" t="str">
        <x:v>未公开核实</x:v>
      </x:c>
      <x:c r="E260" s="60" t="str">
        <x:v>S33</x:v>
      </x:c>
      <x:c r="F260" s="60" t="str">
        <x:v>未知</x:v>
      </x:c>
      <x:c r="G260" s="60" t="str">
        <x:v>已检查官网/公开产品/活动资料；具体缺口见证据缺口表</x:v>
      </x:c>
    </x:row>
    <x:row r="261" ht="36" customHeight="1">
      <x:c r="A261" s="60" t="str">
        <x:v>耀悦</x:v>
      </x:c>
      <x:c r="B261" s="60" t="str">
        <x:v>客户</x:v>
      </x:c>
      <x:c r="C261" s="60" t="str">
        <x:v>职业行业</x:v>
      </x:c>
      <x:c r="D261" s="60" t="str">
        <x:v>精英消费者及机构 定位</x:v>
      </x:c>
      <x:c r="E261" s="60" t="str">
        <x:v>S34</x:v>
      </x:c>
      <x:c r="F261" s="60" t="str">
        <x:v>已找到部分证据</x:v>
      </x:c>
      <x:c r="G261" s="60" t="str">
        <x:v>已检查官网/公开产品/活动资料；具体缺口见证据缺口表</x:v>
      </x:c>
    </x:row>
    <x:row r="262" ht="36" customHeight="1">
      <x:c r="A262" s="60" t="str">
        <x:v>耀悦</x:v>
      </x:c>
      <x:c r="B262" s="60" t="str">
        <x:v>客户</x:v>
      </x:c>
      <x:c r="C262" s="60" t="str">
        <x:v>生活阶段</x:v>
      </x:c>
      <x:c r="D262" s="60" t="str">
        <x:v>家庭 伴侣等产品场景非客户占比</x:v>
      </x:c>
      <x:c r="E262" s="60" t="str">
        <x:v>S33 S34</x:v>
      </x:c>
      <x:c r="F262" s="60" t="str">
        <x:v>已找到部分证据</x:v>
      </x:c>
      <x:c r="G262" s="60" t="str">
        <x:v>已检查官网/公开产品/活动资料；具体缺口见证据缺口表</x:v>
      </x:c>
    </x:row>
    <x:row r="263" ht="36" customHeight="1">
      <x:c r="A263" s="60" t="str">
        <x:v>耀悦</x:v>
      </x:c>
      <x:c r="B263" s="60" t="str">
        <x:v>客户</x:v>
      </x:c>
      <x:c r="C263" s="60" t="str">
        <x:v>资产口径</x:v>
      </x:c>
      <x:c r="D263" s="60" t="str">
        <x:v>未公开核实</x:v>
      </x:c>
      <x:c r="E263" s="60" t="str">
        <x:v>S33</x:v>
      </x:c>
      <x:c r="F263" s="60" t="str">
        <x:v>未知</x:v>
      </x:c>
      <x:c r="G263" s="60" t="str">
        <x:v>已检查官网/公开产品/活动资料；具体缺口见证据缺口表</x:v>
      </x:c>
    </x:row>
    <x:row r="264" ht="36" customHeight="1">
      <x:c r="A264" s="60" t="str">
        <x:v>耀悦</x:v>
      </x:c>
      <x:c r="B264" s="60" t="str">
        <x:v>客户</x:v>
      </x:c>
      <x:c r="C264" s="60" t="str">
        <x:v>消费预算</x:v>
      </x:c>
      <x:c r="D264" s="60" t="str">
        <x:v>未公开核实</x:v>
      </x:c>
      <x:c r="E264" s="60" t="str">
        <x:v>S33</x:v>
      </x:c>
      <x:c r="F264" s="60" t="str">
        <x:v>未知</x:v>
      </x:c>
      <x:c r="G264" s="60" t="str">
        <x:v>已检查官网/公开产品/活动资料；具体缺口见证据缺口表</x:v>
      </x:c>
    </x:row>
    <x:row r="265" ht="36" customHeight="1">
      <x:c r="A265" s="60" t="str">
        <x:v>耀悦</x:v>
      </x:c>
      <x:c r="B265" s="60" t="str">
        <x:v>客户</x:v>
      </x:c>
      <x:c r="C265" s="60" t="str">
        <x:v>核心需求</x:v>
      </x:c>
      <x:c r="D265" s="60" t="str">
        <x:v>旅行与文化体验，社交筛选需求未证实</x:v>
      </x:c>
      <x:c r="E265" s="60" t="str">
        <x:v>S33</x:v>
      </x:c>
      <x:c r="F265" s="60" t="str">
        <x:v>已找到部分证据</x:v>
      </x:c>
      <x:c r="G265" s="60" t="str">
        <x:v>已检查官网/公开产品/活动资料；具体缺口见证据缺口表</x:v>
      </x:c>
    </x:row>
    <x:row r="266" ht="36" customHeight="1">
      <x:c r="A266" s="60" t="str">
        <x:v>耀悦</x:v>
      </x:c>
      <x:c r="B266" s="60" t="str">
        <x:v>客户</x:v>
      </x:c>
      <x:c r="C266" s="60" t="str">
        <x:v>购买触发</x:v>
      </x:c>
      <x:c r="D266" s="60" t="str">
        <x:v>未公开核实</x:v>
      </x:c>
      <x:c r="E266" s="60" t="str">
        <x:v>S33</x:v>
      </x:c>
      <x:c r="F266" s="60" t="str">
        <x:v>未知</x:v>
      </x:c>
      <x:c r="G266" s="60" t="str">
        <x:v>已检查官网/公开产品/活动资料；具体缺口见证据缺口表</x:v>
      </x:c>
    </x:row>
    <x:row r="267" ht="36" customHeight="1">
      <x:c r="A267" s="60" t="str">
        <x:v>耀悦</x:v>
      </x:c>
      <x:c r="B267" s="60" t="str">
        <x:v>客户</x:v>
      </x:c>
      <x:c r="C267" s="60" t="str">
        <x:v>选择标准</x:v>
      </x:c>
      <x:c r="D267" s="60" t="str">
        <x:v>未公开核实</x:v>
      </x:c>
      <x:c r="E267" s="60" t="str">
        <x:v>S33</x:v>
      </x:c>
      <x:c r="F267" s="60" t="str">
        <x:v>未知</x:v>
      </x:c>
      <x:c r="G267" s="60" t="str">
        <x:v>已检查官网/公开产品/活动资料；具体缺口见证据缺口表</x:v>
      </x:c>
    </x:row>
    <x:row r="268" ht="36" customHeight="1">
      <x:c r="A268" s="60" t="str">
        <x:v>耀悦</x:v>
      </x:c>
      <x:c r="B268" s="60" t="str">
        <x:v>客户</x:v>
      </x:c>
      <x:c r="C268" s="60" t="str">
        <x:v>谁发现</x:v>
      </x:c>
      <x:c r="D268" s="60" t="str">
        <x:v>未公开核实</x:v>
      </x:c>
      <x:c r="E268" s="60" t="str">
        <x:v>S33</x:v>
      </x:c>
      <x:c r="F268" s="60" t="str">
        <x:v>未知</x:v>
      </x:c>
      <x:c r="G268" s="60" t="str">
        <x:v>已检查官网/公开产品/活动资料；具体缺口见证据缺口表</x:v>
      </x:c>
    </x:row>
    <x:row r="269" ht="36" customHeight="1">
      <x:c r="A269" s="60" t="str">
        <x:v>耀悦</x:v>
      </x:c>
      <x:c r="B269" s="60" t="str">
        <x:v>客户</x:v>
      </x:c>
      <x:c r="C269" s="60" t="str">
        <x:v>谁推荐</x:v>
      </x:c>
      <x:c r="D269" s="60" t="str">
        <x:v>未公开核实</x:v>
      </x:c>
      <x:c r="E269" s="60" t="str">
        <x:v>S33</x:v>
      </x:c>
      <x:c r="F269" s="60" t="str">
        <x:v>未知</x:v>
      </x:c>
      <x:c r="G269" s="60" t="str">
        <x:v>已检查官网/公开产品/活动资料；具体缺口见证据缺口表</x:v>
      </x:c>
    </x:row>
    <x:row r="270" ht="36" customHeight="1">
      <x:c r="A270" s="60" t="str">
        <x:v>耀悦</x:v>
      </x:c>
      <x:c r="B270" s="60" t="str">
        <x:v>客户</x:v>
      </x:c>
      <x:c r="C270" s="60" t="str">
        <x:v>谁付款</x:v>
      </x:c>
      <x:c r="D270" s="60" t="str">
        <x:v>未公开核实</x:v>
      </x:c>
      <x:c r="E270" s="60" t="str">
        <x:v>S33</x:v>
      </x:c>
      <x:c r="F270" s="60" t="str">
        <x:v>未知</x:v>
      </x:c>
      <x:c r="G270" s="60" t="str">
        <x:v>已检查官网/公开产品/活动资料；具体缺口见证据缺口表</x:v>
      </x:c>
    </x:row>
    <x:row r="271" ht="36" customHeight="1">
      <x:c r="A271" s="60" t="str">
        <x:v>耀悦</x:v>
      </x:c>
      <x:c r="B271" s="60" t="str">
        <x:v>客户</x:v>
      </x:c>
      <x:c r="C271" s="60" t="str">
        <x:v>共同决策</x:v>
      </x:c>
      <x:c r="D271" s="60" t="str">
        <x:v>未公开核实</x:v>
      </x:c>
      <x:c r="E271" s="60" t="str">
        <x:v>S33</x:v>
      </x:c>
      <x:c r="F271" s="60" t="str">
        <x:v>未知</x:v>
      </x:c>
      <x:c r="G271" s="60" t="str">
        <x:v>已检查官网/公开产品/活动资料；具体缺口见证据缺口表</x:v>
      </x:c>
    </x:row>
    <x:row r="272" ht="36" customHeight="1">
      <x:c r="A272" s="60" t="str">
        <x:v>耀悦</x:v>
      </x:c>
      <x:c r="B272" s="60" t="str">
        <x:v>客户</x:v>
      </x:c>
      <x:c r="C272" s="60" t="str">
        <x:v>时间偏好</x:v>
      </x:c>
      <x:c r="D272" s="60" t="str">
        <x:v>未公开核实</x:v>
      </x:c>
      <x:c r="E272" s="60" t="str">
        <x:v>S33</x:v>
      </x:c>
      <x:c r="F272" s="60" t="str">
        <x:v>未知</x:v>
      </x:c>
      <x:c r="G272" s="60" t="str">
        <x:v>已检查官网/公开产品/活动资料；具体缺口见证据缺口表</x:v>
      </x:c>
    </x:row>
    <x:row r="273" ht="36" customHeight="1">
      <x:c r="A273" s="60" t="str">
        <x:v>耀悦</x:v>
      </x:c>
      <x:c r="B273" s="60" t="str">
        <x:v>客户</x:v>
      </x:c>
      <x:c r="C273" s="60" t="str">
        <x:v>活动人数偏好</x:v>
      </x:c>
      <x:c r="D273" s="60" t="str">
        <x:v>未公开核实</x:v>
      </x:c>
      <x:c r="E273" s="60" t="str">
        <x:v>S33</x:v>
      </x:c>
      <x:c r="F273" s="60" t="str">
        <x:v>未知</x:v>
      </x:c>
      <x:c r="G273" s="60" t="str">
        <x:v>已检查官网/公开产品/活动资料；具体缺口见证据缺口表</x:v>
      </x:c>
    </x:row>
    <x:row r="274" ht="36" customHeight="1">
      <x:c r="A274" s="60" t="str">
        <x:v>耀悦</x:v>
      </x:c>
      <x:c r="B274" s="60" t="str">
        <x:v>客户</x:v>
      </x:c>
      <x:c r="C274" s="60" t="str">
        <x:v>顾虑与退出</x:v>
      </x:c>
      <x:c r="D274" s="60" t="str">
        <x:v>未公开核实</x:v>
      </x:c>
      <x:c r="E274" s="60" t="str">
        <x:v>S33</x:v>
      </x:c>
      <x:c r="F274" s="60" t="str">
        <x:v>未知</x:v>
      </x:c>
      <x:c r="G274" s="60" t="str">
        <x:v>已检查官网/公开产品/活动资料；具体缺口见证据缺口表</x:v>
      </x:c>
    </x:row>
    <x:row r="275" ht="36" customHeight="1">
      <x:c r="A275" s="60" t="str">
        <x:v>耀悦</x:v>
      </x:c>
      <x:c r="B275" s="60" t="str">
        <x:v>客户</x:v>
      </x:c>
      <x:c r="C275" s="60" t="str">
        <x:v>留存动机</x:v>
      </x:c>
      <x:c r="D275" s="60" t="str">
        <x:v>未公开核实</x:v>
      </x:c>
      <x:c r="E275" s="60" t="str">
        <x:v>S33</x:v>
      </x:c>
      <x:c r="F275" s="60" t="str">
        <x:v>未知</x:v>
      </x:c>
      <x:c r="G275" s="60" t="str">
        <x:v>已检查官网/公开产品/活动资料；具体缺口见证据缺口表</x:v>
      </x:c>
    </x:row>
    <x:row r="276" ht="36" customHeight="1">
      <x:c r="A276" s="60" t="str">
        <x:v>耀悦</x:v>
      </x:c>
      <x:c r="B276" s="60" t="str">
        <x:v>获客</x:v>
      </x:c>
      <x:c r="C276" s="60" t="str">
        <x:v>公开渠道</x:v>
      </x:c>
      <x:c r="D276" s="60" t="str">
        <x:v>官网、微信顾问；小红书品牌自述账号可访问</x:v>
      </x:c>
      <x:c r="E276" s="60" t="str">
        <x:v>S33 X03</x:v>
      </x:c>
      <x:c r="F276" s="60" t="str">
        <x:v>已找到部分证据</x:v>
      </x:c>
      <x:c r="G276" s="60" t="str">
        <x:v>已检查官网/公开产品/活动资料；具体缺口见证据缺口表</x:v>
      </x:c>
    </x:row>
    <x:row r="277" ht="36" customHeight="1">
      <x:c r="A277" s="60" t="str">
        <x:v>耀悦</x:v>
      </x:c>
      <x:c r="B277" s="60" t="str">
        <x:v>获客</x:v>
      </x:c>
      <x:c r="C277" s="60" t="str">
        <x:v>账号身份</x:v>
      </x:c>
      <x:c r="D277" s="60" t="str">
        <x:v>未公开核实</x:v>
      </x:c>
      <x:c r="E277" s="60" t="str">
        <x:v>S33</x:v>
      </x:c>
      <x:c r="F277" s="60" t="str">
        <x:v>未知</x:v>
      </x:c>
      <x:c r="G277" s="60" t="str">
        <x:v>已检查官网/公开产品/活动资料；具体缺口见证据缺口表</x:v>
      </x:c>
    </x:row>
    <x:row r="278" ht="36" customHeight="1">
      <x:c r="A278" s="60" t="str">
        <x:v>耀悦</x:v>
      </x:c>
      <x:c r="B278" s="60" t="str">
        <x:v>获客</x:v>
      </x:c>
      <x:c r="C278" s="60" t="str">
        <x:v>内容主题</x:v>
      </x:c>
      <x:c r="D278" s="60" t="str">
        <x:v>20篇逐篇内容覆盖目的地 科考 假期 选购与优惠</x:v>
      </x:c>
      <x:c r="E278" s="60" t="str">
        <x:v>X03-01至20</x:v>
      </x:c>
      <x:c r="F278" s="60" t="str">
        <x:v>已找到部分证据</x:v>
      </x:c>
      <x:c r="G278" s="60" t="str">
        <x:v>已检查官网/公开产品/活动资料；具体缺口见证据缺口表</x:v>
      </x:c>
    </x:row>
    <x:row r="279" ht="36" customHeight="1">
      <x:c r="A279" s="60" t="str">
        <x:v>耀悦</x:v>
      </x:c>
      <x:c r="B279" s="60" t="str">
        <x:v>获客</x:v>
      </x:c>
      <x:c r="C279" s="60" t="str">
        <x:v>咨询入口</x:v>
      </x:c>
      <x:c r="D279" s="60" t="str">
        <x:v>私人旅行顾问 定制申请</x:v>
      </x:c>
      <x:c r="E279" s="60" t="str">
        <x:v>S33</x:v>
      </x:c>
      <x:c r="F279" s="60" t="str">
        <x:v>已找到部分证据</x:v>
      </x:c>
      <x:c r="G279" s="60" t="str">
        <x:v>已检查官网/公开产品/活动资料；具体缺口见证据缺口表</x:v>
      </x:c>
    </x:row>
    <x:row r="280" ht="36" customHeight="1">
      <x:c r="A280" s="60" t="str">
        <x:v>耀悦</x:v>
      </x:c>
      <x:c r="B280" s="60" t="str">
        <x:v>获客</x:v>
      </x:c>
      <x:c r="C280" s="60" t="str">
        <x:v>筛选流程</x:v>
      </x:c>
      <x:c r="D280" s="60" t="str">
        <x:v>未公开核实</x:v>
      </x:c>
      <x:c r="E280" s="60" t="str">
        <x:v>S33</x:v>
      </x:c>
      <x:c r="F280" s="60" t="str">
        <x:v>未知</x:v>
      </x:c>
      <x:c r="G280" s="60" t="str">
        <x:v>已检查官网/公开产品/活动资料；具体缺口见证据缺口表</x:v>
      </x:c>
    </x:row>
    <x:row r="281" ht="36" customHeight="1">
      <x:c r="A281" s="60" t="str">
        <x:v>耀悦</x:v>
      </x:c>
      <x:c r="B281" s="60" t="str">
        <x:v>获客</x:v>
      </x:c>
      <x:c r="C281" s="60" t="str">
        <x:v>体验入口</x:v>
      </x:c>
      <x:c r="D281" s="60" t="str">
        <x:v>未公开核实</x:v>
      </x:c>
      <x:c r="E281" s="60" t="str">
        <x:v>S33</x:v>
      </x:c>
      <x:c r="F281" s="60" t="str">
        <x:v>未知</x:v>
      </x:c>
      <x:c r="G281" s="60" t="str">
        <x:v>已检查官网/公开产品/活动资料；具体缺口见证据缺口表</x:v>
      </x:c>
    </x:row>
    <x:row r="282" ht="36" customHeight="1">
      <x:c r="A282" s="60" t="str">
        <x:v>耀悦</x:v>
      </x:c>
      <x:c r="B282" s="60" t="str">
        <x:v>获客</x:v>
      </x:c>
      <x:c r="C282" s="60" t="str">
        <x:v>成交路径</x:v>
      </x:c>
      <x:c r="D282" s="60" t="str">
        <x:v>未公开核实</x:v>
      </x:c>
      <x:c r="E282" s="60" t="str">
        <x:v>S33</x:v>
      </x:c>
      <x:c r="F282" s="60" t="str">
        <x:v>未知</x:v>
      </x:c>
      <x:c r="G282" s="60" t="str">
        <x:v>已检查官网/公开产品/活动资料；具体缺口见证据缺口表</x:v>
      </x:c>
    </x:row>
    <x:row r="283" ht="36" customHeight="1">
      <x:c r="A283" s="60" t="str">
        <x:v>耀悦</x:v>
      </x:c>
      <x:c r="B283" s="60" t="str">
        <x:v>获客</x:v>
      </x:c>
      <x:c r="C283" s="60" t="str">
        <x:v>信任材料</x:v>
      </x:c>
      <x:c r="D283" s="60" t="str">
        <x:v>中青旅品牌与旅行案例 自述</x:v>
      </x:c>
      <x:c r="E283" s="60" t="str">
        <x:v>S34 S35</x:v>
      </x:c>
      <x:c r="F283" s="60" t="str">
        <x:v>已找到部分证据</x:v>
      </x:c>
      <x:c r="G283" s="60" t="str">
        <x:v>已检查官网/公开产品/活动资料；具体缺口见证据缺口表</x:v>
      </x:c>
    </x:row>
    <x:row r="284" ht="36" customHeight="1">
      <x:c r="A284" s="60" t="str">
        <x:v>耀悦</x:v>
      </x:c>
      <x:c r="B284" s="60" t="str">
        <x:v>获客</x:v>
      </x:c>
      <x:c r="C284" s="60" t="str">
        <x:v>合作渠道</x:v>
      </x:c>
      <x:c r="D284" s="60" t="str">
        <x:v>旅游资源及目的地合作 自述</x:v>
      </x:c>
      <x:c r="E284" s="60" t="str">
        <x:v>S34</x:v>
      </x:c>
      <x:c r="F284" s="60" t="str">
        <x:v>已找到部分证据</x:v>
      </x:c>
      <x:c r="G284" s="60" t="str">
        <x:v>已检查官网/公开产品/活动资料；具体缺口见证据缺口表</x:v>
      </x:c>
    </x:row>
    <x:row r="285" ht="36" customHeight="1">
      <x:c r="A285" s="60" t="str">
        <x:v>耀悦</x:v>
      </x:c>
      <x:c r="B285" s="60" t="str">
        <x:v>获客</x:v>
      </x:c>
      <x:c r="C285" s="60" t="str">
        <x:v>转介绍机制</x:v>
      </x:c>
      <x:c r="D285" s="60" t="str">
        <x:v>未公开核实</x:v>
      </x:c>
      <x:c r="E285" s="60" t="str">
        <x:v>S33</x:v>
      </x:c>
      <x:c r="F285" s="60" t="str">
        <x:v>未知</x:v>
      </x:c>
      <x:c r="G285" s="60" t="str">
        <x:v>已检查官网/公开产品/活动资料；具体缺口见证据缺口表</x:v>
      </x:c>
    </x:row>
    <x:row r="286" ht="36" customHeight="1">
      <x:c r="A286" s="60" t="str">
        <x:v>耀悦</x:v>
      </x:c>
      <x:c r="B286" s="60" t="str">
        <x:v>获客</x:v>
      </x:c>
      <x:c r="C286" s="60" t="str">
        <x:v>获客成本</x:v>
      </x:c>
      <x:c r="D286" s="60" t="str">
        <x:v>未公开核实</x:v>
      </x:c>
      <x:c r="E286" s="60" t="str">
        <x:v>S33</x:v>
      </x:c>
      <x:c r="F286" s="60" t="str">
        <x:v>未知</x:v>
      </x:c>
      <x:c r="G286" s="60" t="str">
        <x:v>已检查官网/公开产品/活动资料；具体缺口见证据缺口表</x:v>
      </x:c>
    </x:row>
    <x:row r="287" ht="36" customHeight="1">
      <x:c r="A287" s="60" t="str">
        <x:v>耀悦</x:v>
      </x:c>
      <x:c r="B287" s="60" t="str">
        <x:v>获客</x:v>
      </x:c>
      <x:c r="C287" s="60" t="str">
        <x:v>转化率</x:v>
      </x:c>
      <x:c r="D287" s="60" t="str">
        <x:v>未公开核实</x:v>
      </x:c>
      <x:c r="E287" s="60" t="str">
        <x:v>S33</x:v>
      </x:c>
      <x:c r="F287" s="60" t="str">
        <x:v>未知</x:v>
      </x:c>
      <x:c r="G287" s="60" t="str">
        <x:v>已检查官网/公开产品/活动资料；具体缺口见证据缺口表</x:v>
      </x:c>
    </x:row>
    <x:row r="288" ht="36" customHeight="1">
      <x:c r="A288" s="60" t="str">
        <x:v>耀悦</x:v>
      </x:c>
      <x:c r="B288" s="60" t="str">
        <x:v>活动</x:v>
      </x:c>
      <x:c r="C288" s="60" t="str">
        <x:v>主题与地点</x:v>
      </x:c>
      <x:c r="D288" s="60" t="str">
        <x:v>南澳11天与南极8天招募产品，非实际活动</x:v>
      </x:c>
      <x:c r="E288" s="60" t="str">
        <x:v>X03-09 X03-03</x:v>
      </x:c>
      <x:c r="F288" s="60" t="str">
        <x:v>已找到部分证据</x:v>
      </x:c>
      <x:c r="G288" s="60" t="str">
        <x:v>已检查官网/公开产品/活动资料；具体缺口见证据缺口表</x:v>
      </x:c>
    </x:row>
    <x:row r="289" ht="36" customHeight="1">
      <x:c r="A289" s="60" t="str">
        <x:v>耀悦</x:v>
      </x:c>
      <x:c r="B289" s="60" t="str">
        <x:v>活动</x:v>
      </x:c>
      <x:c r="C289" s="60" t="str">
        <x:v>时长及人数</x:v>
      </x:c>
      <x:c r="D289" s="60" t="str">
        <x:v>南澳11天4人私享；南极8天品牌人数未知</x:v>
      </x:c>
      <x:c r="E289" s="60" t="str">
        <x:v>X03-09 X03-03</x:v>
      </x:c>
      <x:c r="F289" s="60" t="str">
        <x:v>已找到部分证据</x:v>
      </x:c>
      <x:c r="G289" s="60" t="str">
        <x:v>已检查官网/公开产品/活动资料；具体缺口见证据缺口表</x:v>
      </x:c>
    </x:row>
    <x:row r="290" ht="36" customHeight="1">
      <x:c r="A290" s="60" t="str">
        <x:v>耀悦</x:v>
      </x:c>
      <x:c r="B290" s="60" t="str">
        <x:v>活动</x:v>
      </x:c>
      <x:c r="C290" s="60" t="str">
        <x:v>招募筛选</x:v>
      </x:c>
      <x:c r="D290" s="60" t="str">
        <x:v>未公开核实</x:v>
      </x:c>
      <x:c r="E290" s="60" t="str">
        <x:v>S33</x:v>
      </x:c>
      <x:c r="F290" s="60" t="str">
        <x:v>未知</x:v>
      </x:c>
      <x:c r="G290" s="60" t="str">
        <x:v>已检查官网/公开产品/活动资料；具体缺口见证据缺口表</x:v>
      </x:c>
    </x:row>
    <x:row r="291" ht="36" customHeight="1">
      <x:c r="A291" s="60" t="str">
        <x:v>耀悦</x:v>
      </x:c>
      <x:c r="B291" s="60" t="str">
        <x:v>活动</x:v>
      </x:c>
      <x:c r="C291" s="60" t="str">
        <x:v>行前沟通</x:v>
      </x:c>
      <x:c r="D291" s="60" t="str">
        <x:v>未公开核实</x:v>
      </x:c>
      <x:c r="E291" s="60" t="str">
        <x:v>S33</x:v>
      </x:c>
      <x:c r="F291" s="60" t="str">
        <x:v>未知</x:v>
      </x:c>
      <x:c r="G291" s="60" t="str">
        <x:v>已检查官网/公开产品/活动资料；具体缺口见证据缺口表</x:v>
      </x:c>
    </x:row>
    <x:row r="292" ht="36" customHeight="1">
      <x:c r="A292" s="60" t="str">
        <x:v>耀悦</x:v>
      </x:c>
      <x:c r="B292" s="60" t="str">
        <x:v>活动</x:v>
      </x:c>
      <x:c r="C292" s="60" t="str">
        <x:v>签到</x:v>
      </x:c>
      <x:c r="D292" s="60" t="str">
        <x:v>未公开核实</x:v>
      </x:c>
      <x:c r="E292" s="60" t="str">
        <x:v>S33</x:v>
      </x:c>
      <x:c r="F292" s="60" t="str">
        <x:v>未知</x:v>
      </x:c>
      <x:c r="G292" s="60" t="str">
        <x:v>已检查官网/公开产品/活动资料；具体缺口见证据缺口表</x:v>
      </x:c>
    </x:row>
    <x:row r="293" ht="36" customHeight="1">
      <x:c r="A293" s="60" t="str">
        <x:v>耀悦</x:v>
      </x:c>
      <x:c r="B293" s="60" t="str">
        <x:v>活动</x:v>
      </x:c>
      <x:c r="C293" s="60" t="str">
        <x:v>破冰</x:v>
      </x:c>
      <x:c r="D293" s="60" t="str">
        <x:v>未公开核实</x:v>
      </x:c>
      <x:c r="E293" s="60" t="str">
        <x:v>S33</x:v>
      </x:c>
      <x:c r="F293" s="60" t="str">
        <x:v>未知</x:v>
      </x:c>
      <x:c r="G293" s="60" t="str">
        <x:v>已检查官网/公开产品/活动资料；具体缺口见证据缺口表</x:v>
      </x:c>
    </x:row>
    <x:row r="294" ht="36" customHeight="1">
      <x:c r="A294" s="60" t="str">
        <x:v>耀悦</x:v>
      </x:c>
      <x:c r="B294" s="60" t="str">
        <x:v>活动</x:v>
      </x:c>
      <x:c r="C294" s="60" t="str">
        <x:v>主体环节</x:v>
      </x:c>
      <x:c r="D294" s="60" t="str">
        <x:v>南澳有分阶段行程；南极有海空联航方案</x:v>
      </x:c>
      <x:c r="E294" s="60" t="str">
        <x:v>X03-09 X03-03</x:v>
      </x:c>
      <x:c r="F294" s="60" t="str">
        <x:v>已找到部分证据</x:v>
      </x:c>
      <x:c r="G294" s="60" t="str">
        <x:v>已检查官网/公开产品/活动资料；具体缺口见证据缺口表</x:v>
      </x:c>
    </x:row>
    <x:row r="295" ht="36" customHeight="1">
      <x:c r="A295" s="60" t="str">
        <x:v>耀悦</x:v>
      </x:c>
      <x:c r="B295" s="60" t="str">
        <x:v>活动</x:v>
      </x:c>
      <x:c r="C295" s="60" t="str">
        <x:v>自由交流</x:v>
      </x:c>
      <x:c r="D295" s="60" t="str">
        <x:v>未公开核实</x:v>
      </x:c>
      <x:c r="E295" s="60" t="str">
        <x:v>S33</x:v>
      </x:c>
      <x:c r="F295" s="60" t="str">
        <x:v>未知</x:v>
      </x:c>
      <x:c r="G295" s="60" t="str">
        <x:v>已检查官网/公开产品/活动资料；具体缺口见证据缺口表</x:v>
      </x:c>
    </x:row>
    <x:row r="296" ht="36" customHeight="1">
      <x:c r="A296" s="60" t="str">
        <x:v>耀悦</x:v>
      </x:c>
      <x:c r="B296" s="60" t="str">
        <x:v>活动</x:v>
      </x:c>
      <x:c r="C296" s="60" t="str">
        <x:v>回访</x:v>
      </x:c>
      <x:c r="D296" s="60" t="str">
        <x:v>未公开核实</x:v>
      </x:c>
      <x:c r="E296" s="60" t="str">
        <x:v>S33</x:v>
      </x:c>
      <x:c r="F296" s="60" t="str">
        <x:v>未知</x:v>
      </x:c>
      <x:c r="G296" s="60" t="str">
        <x:v>已检查官网/公开产品/活动资料；具体缺口见证据缺口表</x:v>
      </x:c>
    </x:row>
    <x:row r="297" ht="36" customHeight="1">
      <x:c r="A297" s="60" t="str">
        <x:v>耀悦</x:v>
      </x:c>
      <x:c r="B297" s="60" t="str">
        <x:v>活动</x:v>
      </x:c>
      <x:c r="C297" s="60" t="str">
        <x:v>人员角色</x:v>
      </x:c>
      <x:c r="D297" s="60" t="str">
        <x:v>私人顾问；英国线路有老师带队介绍</x:v>
      </x:c>
      <x:c r="E297" s="60" t="str">
        <x:v>S33 S34</x:v>
      </x:c>
      <x:c r="F297" s="60" t="str">
        <x:v>已找到部分证据</x:v>
      </x:c>
      <x:c r="G297" s="60" t="str">
        <x:v>已检查官网/公开产品/活动资料；具体缺口见证据缺口表</x:v>
      </x:c>
    </x:row>
    <x:row r="298" ht="36" customHeight="1">
      <x:c r="A298" s="60" t="str">
        <x:v>耀悦</x:v>
      </x:c>
      <x:c r="B298" s="60" t="str">
        <x:v>活动</x:v>
      </x:c>
      <x:c r="C298" s="60" t="str">
        <x:v>供应商</x:v>
      </x:c>
      <x:c r="D298" s="60" t="str">
        <x:v>未公开核实</x:v>
      </x:c>
      <x:c r="E298" s="60" t="str">
        <x:v>S33</x:v>
      </x:c>
      <x:c r="F298" s="60" t="str">
        <x:v>未知</x:v>
      </x:c>
      <x:c r="G298" s="60" t="str">
        <x:v>已检查官网/公开产品/活动资料；具体缺口见证据缺口表</x:v>
      </x:c>
    </x:row>
    <x:row r="299" ht="36" customHeight="1">
      <x:c r="A299" s="60" t="str">
        <x:v>耀悦</x:v>
      </x:c>
      <x:c r="B299" s="60" t="str">
        <x:v>活动</x:v>
      </x:c>
      <x:c r="C299" s="60" t="str">
        <x:v>异常投诉</x:v>
      </x:c>
      <x:c r="D299" s="60" t="str">
        <x:v>未公开核实</x:v>
      </x:c>
      <x:c r="E299" s="60" t="str">
        <x:v>S33</x:v>
      </x:c>
      <x:c r="F299" s="60" t="str">
        <x:v>未知</x:v>
      </x:c>
      <x:c r="G299" s="60" t="str">
        <x:v>已检查官网/公开产品/活动资料；具体缺口见证据缺口表</x:v>
      </x:c>
    </x:row>
    <x:row r="300" ht="36" customHeight="1">
      <x:c r="A300" s="60" t="str">
        <x:v>耀悦</x:v>
      </x:c>
      <x:c r="B300" s="60" t="str">
        <x:v>用户活跃</x:v>
      </x:c>
      <x:c r="C300" s="60" t="str">
        <x:v>粉丝数</x:v>
      </x:c>
      <x:c r="D300" s="60" t="str">
        <x:v>9507 单一账号快照 2026-10-21</x:v>
      </x:c>
      <x:c r="E300" s="60" t="str">
        <x:v>X03</x:v>
      </x:c>
      <x:c r="F300" s="60" t="str">
        <x:v>已找到部分证据</x:v>
      </x:c>
      <x:c r="G300" s="60" t="str">
        <x:v>已检查官网/公开产品/活动资料；具体缺口见证据缺口表</x:v>
      </x:c>
    </x:row>
    <x:row r="301" ht="36" customHeight="1">
      <x:c r="A301" s="60" t="str">
        <x:v>耀悦</x:v>
      </x:c>
      <x:c r="B301" s="60" t="str">
        <x:v>用户活跃</x:v>
      </x:c>
      <x:c r="C301" s="60" t="str">
        <x:v>社群人数</x:v>
      </x:c>
      <x:c r="D301" s="60" t="str">
        <x:v>未公开核实</x:v>
      </x:c>
      <x:c r="E301" s="60" t="str">
        <x:v>S33</x:v>
      </x:c>
      <x:c r="F301" s="60" t="str">
        <x:v>未知</x:v>
      </x:c>
      <x:c r="G301" s="60" t="str">
        <x:v>已检查官网/公开产品/活动资料；具体缺口见证据缺口表</x:v>
      </x:c>
    </x:row>
    <x:row r="302" ht="36" customHeight="1">
      <x:c r="A302" s="60" t="str">
        <x:v>耀悦</x:v>
      </x:c>
      <x:c r="B302" s="60" t="str">
        <x:v>用户活跃</x:v>
      </x:c>
      <x:c r="C302" s="60" t="str">
        <x:v>累计人数</x:v>
      </x:c>
      <x:c r="D302" s="60" t="str">
        <x:v>未公开核实</x:v>
      </x:c>
      <x:c r="E302" s="60" t="str">
        <x:v>S33</x:v>
      </x:c>
      <x:c r="F302" s="60" t="str">
        <x:v>未知</x:v>
      </x:c>
      <x:c r="G302" s="60" t="str">
        <x:v>已检查官网/公开产品/活动资料；具体缺口见证据缺口表</x:v>
      </x:c>
    </x:row>
    <x:row r="303" ht="36" customHeight="1">
      <x:c r="A303" s="60" t="str">
        <x:v>耀悦</x:v>
      </x:c>
      <x:c r="B303" s="60" t="str">
        <x:v>用户活跃</x:v>
      </x:c>
      <x:c r="C303" s="60" t="str">
        <x:v>有效付费会员</x:v>
      </x:c>
      <x:c r="D303" s="60" t="str">
        <x:v>未公开核实</x:v>
      </x:c>
      <x:c r="E303" s="60" t="str">
        <x:v>S33</x:v>
      </x:c>
      <x:c r="F303" s="60" t="str">
        <x:v>未知</x:v>
      </x:c>
      <x:c r="G303" s="60" t="str">
        <x:v>已检查官网/公开产品/活动资料；具体缺口见证据缺口表</x:v>
      </x:c>
    </x:row>
    <x:row r="304" ht="36" customHeight="1">
      <x:c r="A304" s="60" t="str">
        <x:v>耀悦</x:v>
      </x:c>
      <x:c r="B304" s="60" t="str">
        <x:v>用户活跃</x:v>
      </x:c>
      <x:c r="C304" s="60" t="str">
        <x:v>近90天活动数</x:v>
      </x:c>
      <x:c r="D304" s="60" t="str">
        <x:v>未公开核实</x:v>
      </x:c>
      <x:c r="E304" s="60" t="str">
        <x:v>S33</x:v>
      </x:c>
      <x:c r="F304" s="60" t="str">
        <x:v>未知</x:v>
      </x:c>
      <x:c r="G304" s="60" t="str">
        <x:v>已检查官网/公开产品/活动资料；具体缺口见证据缺口表</x:v>
      </x:c>
    </x:row>
    <x:row r="305" ht="36" customHeight="1">
      <x:c r="A305" s="60" t="str">
        <x:v>耀悦</x:v>
      </x:c>
      <x:c r="B305" s="60" t="str">
        <x:v>用户活跃</x:v>
      </x:c>
      <x:c r="C305" s="60" t="str">
        <x:v>近12月活动数</x:v>
      </x:c>
      <x:c r="D305" s="60" t="str">
        <x:v>未公开核实</x:v>
      </x:c>
      <x:c r="E305" s="60" t="str">
        <x:v>S33</x:v>
      </x:c>
      <x:c r="F305" s="60" t="str">
        <x:v>未知</x:v>
      </x:c>
      <x:c r="G305" s="60" t="str">
        <x:v>已检查官网/公开产品/活动资料；具体缺口见证据缺口表</x:v>
      </x:c>
    </x:row>
    <x:row r="306" ht="36" customHeight="1">
      <x:c r="A306" s="60" t="str">
        <x:v>耀悦</x:v>
      </x:c>
      <x:c r="B306" s="60" t="str">
        <x:v>用户活跃</x:v>
      </x:c>
      <x:c r="C306" s="60" t="str">
        <x:v>到场</x:v>
      </x:c>
      <x:c r="D306" s="60" t="str">
        <x:v>未公开核实</x:v>
      </x:c>
      <x:c r="E306" s="60" t="str">
        <x:v>S33</x:v>
      </x:c>
      <x:c r="F306" s="60" t="str">
        <x:v>未知</x:v>
      </x:c>
      <x:c r="G306" s="60" t="str">
        <x:v>已检查官网/公开产品/活动资料；具体缺口见证据缺口表</x:v>
      </x:c>
    </x:row>
    <x:row r="307" ht="36" customHeight="1">
      <x:c r="A307" s="60" t="str">
        <x:v>耀悦</x:v>
      </x:c>
      <x:c r="B307" s="60" t="str">
        <x:v>用户活跃</x:v>
      </x:c>
      <x:c r="C307" s="60" t="str">
        <x:v>复购</x:v>
      </x:c>
      <x:c r="D307" s="60" t="str">
        <x:v>未公开核实</x:v>
      </x:c>
      <x:c r="E307" s="60" t="str">
        <x:v>S33</x:v>
      </x:c>
      <x:c r="F307" s="60" t="str">
        <x:v>未知</x:v>
      </x:c>
      <x:c r="G307" s="60" t="str">
        <x:v>已检查官网/公开产品/活动资料；具体缺口见证据缺口表</x:v>
      </x:c>
    </x:row>
    <x:row r="308" ht="36" customHeight="1">
      <x:c r="A308" s="60" t="str">
        <x:v>耀悦</x:v>
      </x:c>
      <x:c r="B308" s="60" t="str">
        <x:v>用户活跃</x:v>
      </x:c>
      <x:c r="C308" s="60" t="str">
        <x:v>活跃率</x:v>
      </x:c>
      <x:c r="D308" s="60" t="str">
        <x:v>未公开核实</x:v>
      </x:c>
      <x:c r="E308" s="60" t="str">
        <x:v>S33</x:v>
      </x:c>
      <x:c r="F308" s="60" t="str">
        <x:v>未知</x:v>
      </x:c>
      <x:c r="G308" s="60" t="str">
        <x:v>已检查官网/公开产品/活动资料；具体缺口见证据缺口表</x:v>
      </x:c>
    </x:row>
    <x:row r="309" ht="36" customHeight="1">
      <x:c r="A309" s="60" t="str">
        <x:v>耀悦</x:v>
      </x:c>
      <x:c r="B309" s="60" t="str">
        <x:v>用户活跃</x:v>
      </x:c>
      <x:c r="C309" s="60" t="str">
        <x:v>续费率</x:v>
      </x:c>
      <x:c r="D309" s="60" t="str">
        <x:v>未公开核实</x:v>
      </x:c>
      <x:c r="E309" s="60" t="str">
        <x:v>S33</x:v>
      </x:c>
      <x:c r="F309" s="60" t="str">
        <x:v>未知</x:v>
      </x:c>
      <x:c r="G309" s="60" t="str">
        <x:v>已检查官网/公开产品/活动资料；具体缺口见证据缺口表</x:v>
      </x:c>
    </x:row>
    <x:row r="310" ht="36" customHeight="1">
      <x:c r="A310" s="60" t="str">
        <x:v>耀悦</x:v>
      </x:c>
      <x:c r="B310" s="60" t="str">
        <x:v>用户活跃</x:v>
      </x:c>
      <x:c r="C310" s="60" t="str">
        <x:v>转介绍</x:v>
      </x:c>
      <x:c r="D310" s="60" t="str">
        <x:v>未公开核实</x:v>
      </x:c>
      <x:c r="E310" s="60" t="str">
        <x:v>S33</x:v>
      </x:c>
      <x:c r="F310" s="60" t="str">
        <x:v>未知</x:v>
      </x:c>
      <x:c r="G310" s="60" t="str">
        <x:v>已检查官网/公开产品/活动资料；具体缺口见证据缺口表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c76c20844dd4488"/>
  </x:tableParts>
</x:worksheet>
</file>

<file path=xl/worksheets/sheet17.xml><?xml version="1.0" encoding="utf-8"?>
<x:worksheet xmlns:x="http://schemas.openxmlformats.org/spreadsheetml/2006/main">
  <x:sheetPr>
    <x:tabColor rgb="FF27756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63" hidden="0" customWidth="1"/>
  </x:cols>
  <x:sheetData>
    <x:row r="1" ht="31" customHeight="1">
      <x:c r="A1" s="73"/>
      <x:c r="B1" s="73"/>
      <x:c r="C1" s="73"/>
      <x:c r="D1" s="73"/>
      <x:c r="E1" s="73"/>
      <x:c r="F1" s="73"/>
      <x:c r="G1" s="73"/>
      <x:c r="H1" s="73"/>
    </x:row>
    <x:row r="2" ht="31" customHeight="1">
      <x:c r="A2" s="73"/>
      <x:c r="B2" s="73"/>
      <x:c r="C2" s="53" t="str">
        <x:v>收费模式与敏感性比较</x:v>
      </x:c>
      <x:c r="D2" s="53"/>
      <x:c r="E2" s="53"/>
      <x:c r="F2" s="53"/>
      <x:c r="G2" s="53"/>
      <x:c r="H2" s="53"/>
    </x:row>
    <x:row r="3" ht="42" customHeight="1">
      <x:c r="A3" s="73"/>
      <x:c r="B3" s="73"/>
      <x:c r="C3" s="73" t="str">
        <x:v>研究假设；共同沿用经营模型D4所选情景的团队、获客和活动配置。不同模式实际应重新匹配成本和客户，不是四项可直接相加的收入。</x:v>
      </x:c>
      <x:c r="D3" s="73"/>
      <x:c r="E3" s="73"/>
      <x:c r="F3" s="73"/>
      <x:c r="G3" s="73"/>
      <x:c r="H3" s="73"/>
    </x:row>
    <x:row r="4" ht="31" customHeight="1">
      <x:c r="A4" s="73"/>
      <x:c r="B4" s="73"/>
      <x:c r="C4" s="73"/>
      <x:c r="D4" s="73"/>
      <x:c r="E4" s="73"/>
      <x:c r="F4" s="73"/>
      <x:c r="G4" s="73"/>
      <x:c r="H4" s="73"/>
    </x:row>
    <x:row r="5" ht="31" customHeight="1">
      <x:c r="A5" s="73"/>
      <x:c r="B5" s="73"/>
      <x:c r="C5" s="73"/>
      <x:c r="D5" s="73"/>
      <x:c r="E5" s="73"/>
      <x:c r="F5" s="73"/>
      <x:c r="G5" s="73"/>
      <x:c r="H5" s="73"/>
    </x:row>
    <x:row r="6" ht="30" customHeight="1">
      <x:c r="A6" s="73"/>
      <x:c r="B6" s="73"/>
      <x:c r="C6" s="75" t="str">
        <x:v>指标</x:v>
      </x:c>
      <x:c r="D6" s="75" t="str">
        <x:v>纯按次</x:v>
      </x:c>
      <x:c r="E6" s="75" t="str">
        <x:v>会费含活动</x:v>
      </x:c>
      <x:c r="F6" s="75" t="str">
        <x:v>会费另付活动</x:v>
      </x:c>
      <x:c r="G6" s="75" t="str">
        <x:v>定制净服务</x:v>
      </x:c>
      <x:c r="H6" s="75" t="str">
        <x:v>计算与边界</x:v>
      </x:c>
    </x:row>
    <x:row r="7" ht="31" customHeight="1">
      <x:c r="A7" s="73"/>
      <x:c r="B7" s="73"/>
      <x:c r="C7" s="73" t="str">
        <x:v>净会费收款</x:v>
      </x:c>
      <x:c r="D7" s="84" t="n">
        <x:v>0</x:v>
      </x:c>
      <x:c r="E7" s="85" t="n">
        <x:f>'经营模型'!D29</x:f>
        <x:v>1656000</x:v>
      </x:c>
      <x:c r="F7" s="85" t="n">
        <x:f>'经营模型'!D29</x:f>
        <x:v>1656000</x:v>
      </x:c>
      <x:c r="G7" s="84" t="n">
        <x:v>0</x:v>
      </x:c>
      <x:c r="H7" s="73" t="str">
        <x:v>等效全年口径；保留原模型退款准备</x:v>
      </x:c>
    </x:row>
    <x:row r="8" ht="31" customHeight="1">
      <x:c r="A8" s="73"/>
      <x:c r="B8" s="73"/>
      <x:c r="C8" s="73" t="str">
        <x:v>活动票收入</x:v>
      </x:c>
      <x:c r="D8" s="85" t="n">
        <x:f>'经营模型'!D30</x:f>
        <x:v>691200</x:v>
      </x:c>
      <x:c r="E8" s="84" t="n">
        <x:v>0</x:v>
      </x:c>
      <x:c r="F8" s="85" t="n">
        <x:f>'经营模型'!D30</x:f>
        <x:v>691200</x:v>
      </x:c>
      <x:c r="G8" s="84" t="n">
        <x:v>0</x:v>
      </x:c>
      <x:c r="H8" s="73" t="str">
        <x:v>会费包含活动时，票不重复计收入</x:v>
      </x:c>
    </x:row>
    <x:row r="9" ht="31" customHeight="1">
      <x:c r="A9" s="73"/>
      <x:c r="B9" s="73"/>
      <x:c r="C9" s="73" t="str">
        <x:v>定制组织净服务费</x:v>
      </x:c>
      <x:c r="D9" s="84" t="n">
        <x:v>0</x:v>
      </x:c>
      <x:c r="E9" s="84" t="n">
        <x:v>0</x:v>
      </x:c>
      <x:c r="F9" s="84" t="n">
        <x:v>0</x:v>
      </x:c>
      <x:c r="G9" s="64" t="n">
        <x:f>G24*G25*G26</x:f>
        <x:v>288000</x:v>
      </x:c>
      <x:c r="H9" s="73" t="str">
        <x:v>仅组织服务收入，不把旅行供应商代收款当收入</x:v>
      </x:c>
    </x:row>
    <x:row r="10" ht="31" customHeight="1">
      <x:c r="A10" s="73"/>
      <x:c r="B10" s="73"/>
      <x:c r="C10" s="73" t="str">
        <x:v>活动直接成本</x:v>
      </x:c>
      <x:c r="D10" s="85" t="n">
        <x:f>'经营模型'!D31</x:f>
        <x:v>500400</x:v>
      </x:c>
      <x:c r="E10" s="85" t="n">
        <x:f>'经营模型'!D31</x:f>
        <x:v>500400</x:v>
      </x:c>
      <x:c r="F10" s="85" t="n">
        <x:f>'经营模型'!D31</x:f>
        <x:v>500400</x:v>
      </x:c>
      <x:c r="G10" s="84" t="n">
        <x:v>0</x:v>
      </x:c>
      <x:c r="H10" s="73" t="str">
        <x:v>包含活动也必须承担交付成本</x:v>
      </x:c>
    </x:row>
    <x:row r="11" ht="31" customHeight="1">
      <x:c r="A11" s="73"/>
      <x:c r="B11" s="73"/>
      <x:c r="C11" s="73" t="str">
        <x:v>会员服务变动成本</x:v>
      </x:c>
      <x:c r="D11" s="84" t="n">
        <x:v>0</x:v>
      </x:c>
      <x:c r="E11" s="85" t="n">
        <x:f>'经营模型'!D33</x:f>
        <x:v>240000</x:v>
      </x:c>
      <x:c r="F11" s="85" t="n">
        <x:f>'经营模型'!D33</x:f>
        <x:v>240000</x:v>
      </x:c>
      <x:c r="G11" s="84" t="n">
        <x:v>0</x:v>
      </x:c>
      <x:c r="H11" s="73" t="str">
        <x:v>按次模式不提供持续会员服务</x:v>
      </x:c>
    </x:row>
    <x:row r="12" ht="31" customHeight="1">
      <x:c r="A12" s="73"/>
      <x:c r="B12" s="73"/>
      <x:c r="C12" s="73" t="str">
        <x:v>定制项目直接成本</x:v>
      </x:c>
      <x:c r="D12" s="84" t="n">
        <x:v>0</x:v>
      </x:c>
      <x:c r="E12" s="84" t="n">
        <x:v>0</x:v>
      </x:c>
      <x:c r="F12" s="84" t="n">
        <x:v>0</x:v>
      </x:c>
      <x:c r="G12" s="64" t="n">
        <x:f>G24*(G25*G27+G28)</x:f>
        <x:v>240000</x:v>
      </x:c>
      <x:c r="H12" s="73" t="str">
        <x:v>组织人力、执行及单项目固定直接成本</x:v>
      </x:c>
    </x:row>
    <x:row r="13" ht="31" customHeight="1">
      <x:c r="A13" s="73"/>
      <x:c r="B13" s="73"/>
      <x:c r="C13" s="73" t="str">
        <x:v>固定人员及管理成本</x:v>
      </x:c>
      <x:c r="D13" s="85" t="n">
        <x:f>'经营模型'!D34</x:f>
        <x:v>900000</x:v>
      </x:c>
      <x:c r="E13" s="85" t="n">
        <x:f>'经营模型'!D34</x:f>
        <x:v>900000</x:v>
      </x:c>
      <x:c r="F13" s="85" t="n">
        <x:f>'经营模型'!D34</x:f>
        <x:v>900000</x:v>
      </x:c>
      <x:c r="G13" s="85" t="n">
        <x:f>'经营模型'!D34</x:f>
        <x:v>900000</x:v>
      </x:c>
      <x:c r="H13" s="73" t="str">
        <x:v>为便于比较暂固定；不表示每种模式都应配同一团队</x:v>
      </x:c>
    </x:row>
    <x:row r="14" ht="31" customHeight="1">
      <x:c r="A14" s="73"/>
      <x:c r="B14" s="73"/>
      <x:c r="C14" s="73" t="str">
        <x:v>新增客户获客预算</x:v>
      </x:c>
      <x:c r="D14" s="85" t="n">
        <x:f>'经营模型'!D35</x:f>
        <x:v>350000</x:v>
      </x:c>
      <x:c r="E14" s="85" t="n">
        <x:f>'经营模型'!D35</x:f>
        <x:v>350000</x:v>
      </x:c>
      <x:c r="F14" s="85" t="n">
        <x:f>'经营模型'!D35</x:f>
        <x:v>350000</x:v>
      </x:c>
      <x:c r="G14" s="85" t="n">
        <x:f>'经营模型'!D35</x:f>
        <x:v>350000</x:v>
      </x:c>
      <x:c r="H14" s="73" t="str">
        <x:v>独立假设，定制客户数变化须同步重做获客预算</x:v>
      </x:c>
    </x:row>
    <x:row r="15" ht="31" customHeight="1">
      <x:c r="A15" s="73"/>
      <x:c r="B15" s="73"/>
      <x:c r="C15" s="73" t="str">
        <x:v>合计模式收入</x:v>
      </x:c>
      <x:c r="D15" s="64" t="n">
        <x:f>SUM(D7:D9)</x:f>
        <x:v>691200</x:v>
      </x:c>
      <x:c r="E15" s="64" t="n">
        <x:f>SUM(E7:E9)</x:f>
        <x:v>1656000</x:v>
      </x:c>
      <x:c r="F15" s="64" t="n">
        <x:f>SUM(F7:F9)</x:f>
        <x:v>2347200</x:v>
      </x:c>
      <x:c r="G15" s="64" t="n">
        <x:f>SUM(G7:G9)</x:f>
        <x:v>288000</x:v>
      </x:c>
      <x:c r="H15" s="73" t="str">
        <x:v>四种互斥模式演示，不是合并预测</x:v>
      </x:c>
    </x:row>
    <x:row r="16" ht="31" customHeight="1">
      <x:c r="A16" s="73"/>
      <x:c r="B16" s="73"/>
      <x:c r="C16" s="73" t="str">
        <x:v>扣直接交付后贡献</x:v>
      </x:c>
      <x:c r="D16" s="64" t="n">
        <x:f>D15-D10-D11-D12</x:f>
        <x:v>190800</x:v>
      </x:c>
      <x:c r="E16" s="64" t="n">
        <x:f>E15-E10-E11-E12</x:f>
        <x:v>915600</x:v>
      </x:c>
      <x:c r="F16" s="64" t="n">
        <x:f>F15-F10-F11-F12</x:f>
        <x:v>1606800</x:v>
      </x:c>
      <x:c r="G16" s="64" t="n">
        <x:f>G15-G10-G11-G12</x:f>
        <x:v>48000</x:v>
      </x:c>
      <x:c r="H16" s="73" t="str">
        <x:v>固定管理和获客尚未扣除</x:v>
      </x:c>
    </x:row>
    <x:row r="17" ht="31" customHeight="1">
      <x:c r="A17" s="73"/>
      <x:c r="B17" s="73"/>
      <x:c r="C17" s="94" t="str">
        <x:v>税前年度经营余额</x:v>
      </x:c>
      <x:c r="D17" s="79" t="n">
        <x:f>D16-D13-D14</x:f>
        <x:v>-1059200</x:v>
      </x:c>
      <x:c r="E17" s="79" t="n">
        <x:f>E16-E13-E14</x:f>
        <x:v>-334400</x:v>
      </x:c>
      <x:c r="F17" s="79" t="n">
        <x:f>F16-F13-F14</x:f>
        <x:v>356800</x:v>
      </x:c>
      <x:c r="G17" s="79" t="n">
        <x:f>G16-G13-G14</x:f>
        <x:v>-1202000</x:v>
      </x:c>
      <x:c r="H17" s="94" t="str">
        <x:v>未含税、折旧及现金时点；不是实绩</x:v>
      </x:c>
    </x:row>
    <x:row r="18" ht="31" customHeight="1">
      <x:c r="A18" s="73"/>
      <x:c r="B18" s="73"/>
      <x:c r="C18" s="73"/>
      <x:c r="D18" s="73"/>
      <x:c r="E18" s="73"/>
      <x:c r="F18" s="73"/>
      <x:c r="G18" s="73"/>
      <x:c r="H18" s="73"/>
    </x:row>
    <x:row r="19" ht="31" customHeight="1">
      <x:c r="A19" s="73"/>
      <x:c r="B19" s="73"/>
      <x:c r="C19" s="73"/>
      <x:c r="D19" s="73"/>
      <x:c r="E19" s="73"/>
      <x:c r="F19" s="73"/>
      <x:c r="G19" s="73"/>
      <x:c r="H19" s="73"/>
    </x:row>
    <x:row r="20" ht="25" customHeight="1">
      <x:c r="A20" s="73"/>
      <x:c r="B20" s="73"/>
      <x:c r="C20" s="73" t="str">
        <x:v>四种模式只比较收费机制改变后的算术影响。纯按次需要足够票价、人数和频次覆盖持续成本；会费含活动要核算席位与免费交付；混合收费需验证客户是否接受；定制净服务必须有可单独收费的组织价值。</x:v>
      </x:c>
      <x:c r="D20" s="73"/>
      <x:c r="E20" s="73"/>
      <x:c r="F20" s="73"/>
      <x:c r="G20" s="73"/>
      <x:c r="H20" s="73"/>
    </x:row>
    <x:row r="21" ht="25" customHeight="1">
      <x:c r="A21" s="73"/>
      <x:c r="B21" s="73"/>
      <x:c r="C21" s="73"/>
      <x:c r="D21" s="73"/>
      <x:c r="E21" s="73"/>
      <x:c r="F21" s="73"/>
      <x:c r="G21" s="73"/>
      <x:c r="H21" s="73"/>
    </x:row>
    <x:row r="22" ht="31" customHeight="1">
      <x:c r="A22" s="73"/>
      <x:c r="B22" s="73"/>
      <x:c r="C22" s="73"/>
      <x:c r="D22" s="73"/>
      <x:c r="E22" s="73"/>
      <x:c r="F22" s="73"/>
      <x:c r="G22" s="73"/>
      <x:c r="H22" s="73"/>
    </x:row>
    <x:row r="23" ht="30" customHeight="1">
      <x:c r="A23" s="73"/>
      <x:c r="B23" s="73"/>
      <x:c r="C23" s="75" t="str">
        <x:v>定制净服务假设</x:v>
      </x:c>
      <x:c r="D23" s="75"/>
      <x:c r="E23" s="75"/>
      <x:c r="F23" s="75"/>
      <x:c r="G23" s="75" t="str">
        <x:v>输入</x:v>
      </x:c>
      <x:c r="H23" s="75" t="str">
        <x:v>口径</x:v>
      </x:c>
    </x:row>
    <x:row r="24" ht="31" customHeight="1">
      <x:c r="A24" s="73"/>
      <x:c r="B24" s="73"/>
      <x:c r="C24" s="73" t="str">
        <x:v>全年项目 次</x:v>
      </x:c>
      <x:c r="D24" s="73"/>
      <x:c r="E24" s="73"/>
      <x:c r="F24" s="73"/>
      <x:c r="G24" s="93" t="n">
        <x:v>12</x:v>
      </x:c>
      <x:c r="H24" s="73" t="str">
        <x:v>不是公开市场发生量</x:v>
      </x:c>
    </x:row>
    <x:row r="25" ht="31" customHeight="1">
      <x:c r="A25" s="73"/>
      <x:c r="B25" s="73"/>
      <x:c r="C25" s="73" t="str">
        <x:v>每项目实付客户 人</x:v>
      </x:c>
      <x:c r="D25" s="73"/>
      <x:c r="E25" s="73"/>
      <x:c r="F25" s="73"/>
      <x:c r="G25" s="93" t="n">
        <x:v>4</x:v>
      </x:c>
      <x:c r="H25" s="73" t="str">
        <x:v>去重新增与重复项目另需拆分</x:v>
      </x:c>
    </x:row>
    <x:row r="26" ht="31" customHeight="1">
      <x:c r="A26" s="73"/>
      <x:c r="B26" s="73"/>
      <x:c r="C26" s="73" t="str">
        <x:v>每人净组织收入 元</x:v>
      </x:c>
      <x:c r="D26" s="73"/>
      <x:c r="E26" s="73"/>
      <x:c r="F26" s="73"/>
      <x:c r="G26" s="93" t="n">
        <x:v>6000</x:v>
      </x:c>
      <x:c r="H26" s="73" t="str">
        <x:v>不包含旅行行程或机票代收款</x:v>
      </x:c>
    </x:row>
    <x:row r="27" ht="31" customHeight="1">
      <x:c r="A27" s="73"/>
      <x:c r="B27" s="73"/>
      <x:c r="C27" s="73" t="str">
        <x:v>每人组织变动成本 元</x:v>
      </x:c>
      <x:c r="D27" s="73"/>
      <x:c r="E27" s="73"/>
      <x:c r="F27" s="73"/>
      <x:c r="G27" s="93" t="n">
        <x:v>2000</x:v>
      </x:c>
      <x:c r="H27" s="73" t="str">
        <x:v>专业组织与服务成本假设</x:v>
      </x:c>
    </x:row>
    <x:row r="28" ht="31" customHeight="1">
      <x:c r="A28" s="73"/>
      <x:c r="B28" s="73"/>
      <x:c r="C28" s="73" t="str">
        <x:v>每项目固定直接成本 元</x:v>
      </x:c>
      <x:c r="D28" s="73"/>
      <x:c r="E28" s="73"/>
      <x:c r="F28" s="73"/>
      <x:c r="G28" s="93" t="n">
        <x:v>12000</x:v>
      </x:c>
      <x:c r="H28" s="73" t="str">
        <x:v>执行及差旅等；不与年度固定团队重复</x:v>
      </x:c>
    </x:row>
    <x:row r="29" ht="31" customHeight="1">
      <x:c r="A29" s="73"/>
      <x:c r="B29" s="73"/>
      <x:c r="C29" s="73"/>
      <x:c r="D29" s="73"/>
      <x:c r="E29" s="73"/>
      <x:c r="F29" s="73"/>
      <x:c r="G29" s="73"/>
      <x:c r="H29" s="73"/>
    </x:row>
    <x:row r="30" ht="31" customHeight="1">
      <x:c r="A30" s="73"/>
      <x:c r="B30" s="73"/>
      <x:c r="C30" s="73"/>
      <x:c r="D30" s="73"/>
      <x:c r="E30" s="73"/>
      <x:c r="F30" s="73"/>
      <x:c r="G30" s="73"/>
      <x:c r="H30" s="73"/>
    </x:row>
    <x:row r="31" ht="25" customHeight="1">
      <x:c r="A31" s="73"/>
      <x:c r="B31" s="73"/>
      <x:c r="C31" s="73" t="str">
        <x:v>下表仅改变全年等效会员人数与年费，沿用当前情景退款率、会员服务单位成本、活动贡献、固定团队及获客预算。获客预算暂固定，人数变化时应重新验证；非统计置信区间。蓝色为可编辑研究假设。</x:v>
      </x:c>
      <x:c r="D31" s="73"/>
      <x:c r="E31" s="73"/>
      <x:c r="F31" s="73"/>
      <x:c r="G31" s="73"/>
      <x:c r="H31" s="73"/>
    </x:row>
    <x:row r="32" ht="25" customHeight="1">
      <x:c r="A32" s="73"/>
      <x:c r="B32" s="73"/>
      <x:c r="C32" s="73"/>
      <x:c r="D32" s="73"/>
      <x:c r="E32" s="73"/>
      <x:c r="F32" s="73"/>
      <x:c r="G32" s="73"/>
      <x:c r="H32" s="73"/>
    </x:row>
    <x:row r="33" ht="31" customHeight="1">
      <x:c r="A33" s="73"/>
      <x:c r="B33" s="73"/>
      <x:c r="C33" s="73"/>
      <x:c r="D33" s="73"/>
      <x:c r="E33" s="73"/>
      <x:c r="F33" s="73"/>
      <x:c r="G33" s="73"/>
      <x:c r="H33" s="73"/>
    </x:row>
    <x:row r="34" ht="31" customHeight="1">
      <x:c r="A34" s="73"/>
      <x:c r="B34" s="73"/>
      <x:c r="C34" s="73"/>
      <x:c r="D34" s="73"/>
      <x:c r="E34" s="73"/>
      <x:c r="F34" s="73"/>
      <x:c r="G34" s="73"/>
      <x:c r="H34" s="73"/>
    </x:row>
    <x:row r="35" ht="30" customHeight="1">
      <x:c r="A35" s="73"/>
      <x:c r="B35" s="73"/>
      <x:c r="C35" s="58" t="str">
        <x:v>会员人数 / 年费</x:v>
      </x:c>
      <x:c r="D35" s="95" t="n">
        <x:v>12000</x:v>
      </x:c>
      <x:c r="E35" s="95" t="n">
        <x:v>18000</x:v>
      </x:c>
      <x:c r="F35" s="95" t="n">
        <x:v>24000</x:v>
      </x:c>
      <x:c r="G35" s="73"/>
      <x:c r="H35" s="73"/>
    </x:row>
    <x:row r="36" ht="31" customHeight="1">
      <x:c r="A36" s="73"/>
      <x:c r="B36" s="73"/>
      <x:c r="C36" s="89" t="n">
        <x:v>60</x:v>
      </x:c>
      <x:c r="D36" s="90" t="n">
        <x:f>$C36*(D$35*(1-'经营模型'!$D$19)-'经营模型'!$D$15)+'经营模型'!$D$32-'经营模型'!$D$34-'经营模型'!$D$35</x:f>
        <x:v>-540800</x:v>
      </x:c>
      <x:c r="E36" s="90" t="n">
        <x:f>$C36*(E$35*(1-'经营模型'!$D$19)-'经营模型'!$D$15)+'经营模型'!$D$32-'经营模型'!$D$34-'经营模型'!$D$35</x:f>
        <x:v>-209600</x:v>
      </x:c>
      <x:c r="F36" s="90" t="n">
        <x:f>$C36*(F$35*(1-'经营模型'!$D$19)-'经营模型'!$D$15)+'经营模型'!$D$32-'经营模型'!$D$34-'经营模型'!$D$35</x:f>
        <x:v>121600</x:v>
      </x:c>
      <x:c r="G36" s="73"/>
      <x:c r="H36" s="73"/>
    </x:row>
    <x:row r="37" ht="31" customHeight="1">
      <x:c r="A37" s="73"/>
      <x:c r="B37" s="73"/>
      <x:c r="C37" s="89" t="n">
        <x:v>100</x:v>
      </x:c>
      <x:c r="D37" s="90" t="n">
        <x:f>$C37*(D$35*(1-'经营模型'!$D$19)-'经营模型'!$D$15)+'经营模型'!$D$32-'经营模型'!$D$34-'经营模型'!$D$35</x:f>
        <x:v>-195200</x:v>
      </x:c>
      <x:c r="E37" s="90" t="n">
        <x:f>$C37*(E$35*(1-'经营模型'!$D$19)-'经营模型'!$D$15)+'经营模型'!$D$32-'经营模型'!$D$34-'经营模型'!$D$35</x:f>
        <x:v>356800</x:v>
      </x:c>
      <x:c r="F37" s="90" t="n">
        <x:f>$C37*(F$35*(1-'经营模型'!$D$19)-'经营模型'!$D$15)+'经营模型'!$D$32-'经营模型'!$D$34-'经营模型'!$D$35</x:f>
        <x:v>908800</x:v>
      </x:c>
      <x:c r="G37" s="73"/>
      <x:c r="H37" s="73"/>
    </x:row>
    <x:row r="38" ht="31" customHeight="1">
      <x:c r="A38" s="73"/>
      <x:c r="B38" s="73"/>
      <x:c r="C38" s="89" t="n">
        <x:v>160</x:v>
      </x:c>
      <x:c r="D38" s="90" t="n">
        <x:f>$C38*(D$35*(1-'经营模型'!$D$19)-'经营模型'!$D$15)+'经营模型'!$D$32-'经营模型'!$D$34-'经营模型'!$D$35</x:f>
        <x:v>323200</x:v>
      </x:c>
      <x:c r="E38" s="90" t="n">
        <x:f>$C38*(E$35*(1-'经营模型'!$D$19)-'经营模型'!$D$15)+'经营模型'!$D$32-'经营模型'!$D$34-'经营模型'!$D$35</x:f>
        <x:v>1206400</x:v>
      </x:c>
      <x:c r="F38" s="90" t="n">
        <x:f>$C38*(F$35*(1-'经营模型'!$D$19)-'经营模型'!$D$15)+'经营模型'!$D$32-'经营模型'!$D$34-'经营模型'!$D$35</x:f>
        <x:v>2089600</x:v>
      </x:c>
      <x:c r="G38" s="73"/>
      <x:c r="H38" s="73"/>
    </x:row>
    <x:row r="39" ht="31" customHeight="1">
      <x:c r="A39" s="73"/>
      <x:c r="B39" s="73"/>
      <x:c r="C39" s="73"/>
      <x:c r="D39" s="73"/>
      <x:c r="E39" s="73"/>
      <x:c r="F39" s="73"/>
      <x:c r="G39" s="73"/>
      <x:c r="H39" s="73"/>
    </x:row>
    <x:row r="40" ht="31" customHeight="1">
      <x:c r="A40" s="73"/>
      <x:c r="B40" s="73"/>
      <x:c r="C40" s="73"/>
      <x:c r="D40" s="73"/>
      <x:c r="E40" s="73"/>
      <x:c r="F40" s="73"/>
      <x:c r="G40" s="73"/>
      <x:c r="H40" s="73"/>
    </x:row>
    <x:row r="41" ht="31" customHeight="1">
      <x:c r="A41" s="73"/>
      <x:c r="B41" s="73"/>
      <x:c r="C41" s="73"/>
      <x:c r="D41" s="73"/>
      <x:c r="E41" s="73"/>
      <x:c r="F41" s="73"/>
      <x:c r="G41" s="73"/>
      <x:c r="H41" s="73"/>
    </x:row>
    <x:row r="42" ht="31" customHeight="1">
      <x:c r="A42" s="73"/>
      <x:c r="B42" s="73"/>
      <x:c r="C42" s="73"/>
      <x:c r="D42" s="73"/>
      <x:c r="E42" s="73"/>
      <x:c r="F42" s="73"/>
      <x:c r="G42" s="73"/>
      <x:c r="H42" s="73"/>
    </x:row>
  </x:sheetData>
  <x:mergeCells>
    <x:mergeCell ref="C2:H2"/>
    <x:mergeCell ref="C3:H3"/>
    <x:mergeCell ref="C20:H21"/>
    <x:mergeCell ref="C31:H32"/>
  </x:mergeCells>
  <x:conditionalFormatting sqref="D17:G17">
    <x:cfRule type="cellIs" dxfId="1" priority="1" operator="lessThan">
      <x:formula>0</x:formula>
    </x:cfRule>
  </x:conditionalFormatting>
  <x:conditionalFormatting sqref="D36:F38">
    <x:cfRule type="colorScale" priority="2">
      <x:colorScale>
        <x:cfvo type="min"/>
        <x:cfvo type="percentile" val="50"/>
        <x:cfvo type="max"/>
        <x:color rgb="FFFBE4E1"/>
        <x:color rgb="FFFFFFFF"/>
        <x:color rgb="FFDCEFE7"/>
      </x:colorScale>
    </x:cfRule>
  </x:conditionalFormatting>
  <x:pageMargins left="0.7" right="0.7" top="0.75" bottom="0.75" header="0.3" footer="0.3"/>
</x:worksheet>
</file>