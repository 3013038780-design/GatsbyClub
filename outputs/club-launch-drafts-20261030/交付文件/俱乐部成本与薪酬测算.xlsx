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f3ace2ef2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场活动" sheetId="1" r:id="R04ea9b8cacb24647"/>
    <x:sheet xmlns:r="http://schemas.openxmlformats.org/officeDocument/2006/relationships" name="会员交付" sheetId="2" r:id="R466198aeadf24fc0"/>
    <x:sheet xmlns:r="http://schemas.openxmlformats.org/officeDocument/2006/relationships" name="人员薪酬" sheetId="3" r:id="R4e1a1d30062847f7"/>
    <x:sheet xmlns:r="http://schemas.openxmlformats.org/officeDocument/2006/relationships" name="启动现金" sheetId="4" r:id="Rb1eed39649c6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—&quot;"/>
    <x:numFmt numFmtId="201" formatCode="0.0%"/>
    <x:numFmt numFmtId="202" formatCode="0"/>
  </x:numFmts>
  <x:fonts count="16">
    <x:font>
      <x:sz val="11"/>
      <x:name val="Carlito"/>
    </x:font>
    <x:font>
      <x:sz val="11"/>
      <x:color rgb="FF243E35"/>
      <x:name val="Arial"/>
    </x:font>
    <x:font>
      <x:b/>
      <x:sz val="16"/>
      <x:color rgb="FF243E35"/>
      <x:name val="Arial"/>
    </x:font>
    <x:font>
      <x:sz val="10"/>
      <x:color rgb="FF66746A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sz val="11"/>
      <x:color rgb="FF008000"/>
      <x:name val="Arial"/>
    </x:font>
    <x:font>
      <x:b/>
      <x:sz val="11"/>
      <x:color rgb="FF000000"/>
      <x:name val="Arial"/>
    </x:font>
    <x:font>
      <x:b/>
      <x:sz val="11"/>
      <x:color rgb="FF243E35"/>
      <x:name val="Arial"/>
    </x:font>
    <x:font>
      <x:sz val="10"/>
      <x:color rgb="FF243E35"/>
      <x:name val="Arial"/>
    </x:font>
    <x:font>
      <x:b/>
      <x:sz val="10"/>
      <x:color rgb="FF243E35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sz val="10"/>
      <x:color rgb="FF008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35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0" fontId="12" fillId="2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 wrapText="1"/>
    </x:xf>
    <x:xf numFmtId="200" fontId="13" fillId="3" borderId="0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0" fontId="14" fillId="3" borderId="0" xfId="0" applyNumberFormat="1" applyFont="1" applyFill="1" applyBorder="1" applyAlignment="1">
      <x:alignment vertical="center"/>
    </x:xf>
    <x:xf numFmtId="201" fontId="14" fillId="3" borderId="0" xfId="0" applyNumberFormat="1" applyFont="1" applyFill="1" applyBorder="1" applyAlignment="1">
      <x:alignment vertical="center"/>
    </x:xf>
    <x:xf numFmtId="201" fontId="15" fillId="0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202" fontId="14" fillId="3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A12720"/>
      </x:font>
      <x:fill>
        <x:patternFill patternType="solid">
          <x:bgColor rgb="FFFCE8E6"/>
        </x:patternFill>
      </x:fill>
    </x:dxf>
    <x:dxf>
      <x:font>
        <x:color rgb="FFA12720"/>
      </x:font>
      <x:fill>
        <x:patternFill patternType="solid">
          <x:bgColor rgb="FFFCE8E6"/>
        </x:patternFill>
      </x:fill>
    </x:dxf>
    <x:dxf>
      <x:font>
        <x:color rgb="FFA1272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889d5ef734d11" /><Relationship Type="http://schemas.openxmlformats.org/officeDocument/2006/relationships/theme" Target="/xl/theme/theme1.xml" Id="R942a3a8df1e54501" /><Relationship Type="http://schemas.openxmlformats.org/officeDocument/2006/relationships/sharedStrings" Target="/xl/sharedStrings.xml" Id="Rc84f55b5b8734c61" /><Relationship Type="http://schemas.openxmlformats.org/officeDocument/2006/relationships/worksheet" Target="/xl/worksheets/sheet1.xml" Id="R04ea9b8cacb24647" /><Relationship Type="http://schemas.openxmlformats.org/officeDocument/2006/relationships/worksheet" Target="/xl/worksheets/sheet2.xml" Id="R466198aeadf24fc0" /><Relationship Type="http://schemas.openxmlformats.org/officeDocument/2006/relationships/worksheet" Target="/xl/worksheets/sheet3.xml" Id="R4e1a1d30062847f7" /><Relationship Type="http://schemas.openxmlformats.org/officeDocument/2006/relationships/worksheet" Target="/xl/worksheets/sheet4.xml" Id="Rb1eed39649c64f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</x:cols>
  <x:sheetData>
    <x:row r="1" ht="25" customHeight="1">
      <x:c r="C1" s="2"/>
      <x:c r="D1" s="2"/>
      <x:c r="E1" s="2"/>
      <x:c r="F1" s="27"/>
      <x:c r="G1" s="27"/>
    </x:row>
    <x:row r="2" ht="36" customHeight="1">
      <x:c r="C2" s="4" t="str">
        <x:v>单场主题下午茶测算</x:v>
      </x:c>
      <x:c r="D2" s="2"/>
      <x:c r="E2" s="2"/>
      <x:c r="F2" s="27"/>
      <x:c r="G2" s="27"/>
    </x:row>
    <x:row r="3" ht="25" customHeight="1">
      <x:c r="C3" s="5" t="str">
        <x:v>黄色蓝字可改。人民币预算示例，未扣公司税费和其他固定开支。</x:v>
      </x:c>
      <x:c r="D3" s="2"/>
      <x:c r="E3" s="2"/>
      <x:c r="F3" s="27"/>
      <x:c r="G3" s="27"/>
    </x:row>
    <x:row r="4" ht="25" customHeight="1">
      <x:c r="C4" s="2"/>
      <x:c r="D4" s="2"/>
      <x:c r="E4" s="2"/>
      <x:c r="F4" s="27"/>
      <x:c r="G4" s="27"/>
    </x:row>
    <x:row r="5" ht="25" customHeight="1">
      <x:c r="C5" s="2" t="str">
        <x:v>单场贡献</x:v>
      </x:c>
      <x:c r="D5" s="25" t="n">
        <x:f>D36</x:f>
        <x:v>1961.7408000000014</x:v>
      </x:c>
      <x:c r="E5" s="26"/>
      <x:c r="F5" s="28"/>
      <x:c r="G5" s="28"/>
    </x:row>
    <x:row r="6" ht="25" customHeight="1">
      <x:c r="C6" s="2" t="str">
        <x:v>建议成行人数</x:v>
      </x:c>
      <x:c r="D6" s="25" t="n">
        <x:f>D26</x:f>
        <x:v>10</x:v>
      </x:c>
      <x:c r="E6" s="26"/>
      <x:c r="F6" s="28"/>
      <x:c r="G6" s="28"/>
    </x:row>
    <x:row r="7" ht="25" customHeight="1">
      <x:c r="C7" s="8" t="str">
        <x:v>指标与输入</x:v>
      </x:c>
      <x:c r="D7" s="9"/>
      <x:c r="E7" s="9"/>
      <x:c r="F7" s="29"/>
      <x:c r="G7" s="29"/>
    </x:row>
    <x:row r="8" ht="4" customHeight="1">
      <x:c r="C8" s="2"/>
      <x:c r="D8" s="3"/>
      <x:c r="E8" s="3"/>
      <x:c r="F8" s="30"/>
      <x:c r="G8" s="30"/>
    </x:row>
    <x:row r="9" ht="4" customHeight="1">
      <x:c r="C9" s="2"/>
      <x:c r="D9" s="3"/>
      <x:c r="E9" s="3"/>
      <x:c r="F9" s="30"/>
      <x:c r="G9" s="30"/>
    </x:row>
    <x:row r="10" ht="4" customHeight="1">
      <x:c r="C10" s="2"/>
      <x:c r="D10" s="3"/>
      <x:c r="E10" s="3"/>
      <x:c r="F10" s="30"/>
      <x:c r="G10" s="30"/>
    </x:row>
    <x:row r="11" ht="4" customHeight="1">
      <x:c r="C11" s="2"/>
      <x:c r="D11" s="3"/>
      <x:c r="E11" s="3"/>
      <x:c r="F11" s="30"/>
      <x:c r="G11" s="30"/>
    </x:row>
    <x:row r="12" ht="4" customHeight="1">
      <x:c r="C12" s="2"/>
      <x:c r="D12" s="3"/>
      <x:c r="E12" s="3"/>
      <x:c r="F12" s="30"/>
      <x:c r="G12" s="30"/>
    </x:row>
    <x:row r="13" ht="4" customHeight="1">
      <x:c r="C13" s="2"/>
      <x:c r="D13" s="3"/>
      <x:c r="E13" s="3"/>
      <x:c r="F13" s="30"/>
      <x:c r="G13" s="30"/>
    </x:row>
    <x:row r="14" ht="25" customHeight="1">
      <x:c r="C14" s="2" t="str">
        <x:v>实际参加人数</x:v>
      </x:c>
      <x:c r="D14" s="20" t="n">
        <x:v>12</x:v>
      </x:c>
      <x:c r="E14" s="3"/>
      <x:c r="F14" s="30" t="str">
        <x:v>来源：本次预算建议</x:v>
      </x:c>
      <x:c r="G14" s="30"/>
    </x:row>
    <x:row r="15" ht="25" customHeight="1">
      <x:c r="C15" s="2" t="str">
        <x:v>研究试价 元/人</x:v>
      </x:c>
      <x:c r="D15" s="11" t="n">
        <x:v>880</x:v>
      </x:c>
      <x:c r="E15" s="3"/>
      <x:c r="F15" s="30"/>
      <x:c r="G15" s="30"/>
    </x:row>
    <x:row r="16" ht="25" customHeight="1">
      <x:c r="C16" s="2" t="str">
        <x:v>退款金额预留比例</x:v>
      </x:c>
      <x:c r="D16" s="12" t="n">
        <x:v>0.03</x:v>
      </x:c>
      <x:c r="E16" s="3"/>
      <x:c r="F16" s="30" t="str">
        <x:v>场地1800不是Lust/梵悦报价</x:v>
      </x:c>
      <x:c r="G16" s="30"/>
    </x:row>
    <x:row r="17" ht="25" customHeight="1">
      <x:c r="C17" s="2" t="str">
        <x:v>支付手续费预算比例</x:v>
      </x:c>
      <x:c r="D17" s="12" t="n">
        <x:v>0.006</x:v>
      </x:c>
      <x:c r="E17" s="3"/>
      <x:c r="F17" s="30"/>
      <x:c r="G17" s="30"/>
    </x:row>
    <x:row r="18" ht="25" customHeight="1">
      <x:c r="C18" s="2" t="str">
        <x:v>单人获客预算</x:v>
      </x:c>
      <x:c r="D18" s="11" t="n">
        <x:v>80</x:v>
      </x:c>
      <x:c r="E18" s="3"/>
      <x:c r="F18" s="30" t="str">
        <x:v>未自动赠送年费会籍</x:v>
      </x:c>
      <x:c r="G18" s="30"/>
    </x:row>
    <x:row r="19" ht="25" customHeight="1">
      <x:c r="C19" s="2" t="str">
        <x:v>单人茶点预算</x:v>
      </x:c>
      <x:c r="D19" s="11" t="n">
        <x:v>200</x:v>
      </x:c>
      <x:c r="E19" s="3"/>
      <x:c r="F19" s="30"/>
      <x:c r="G19" s="30"/>
    </x:row>
    <x:row r="20" ht="25" customHeight="1">
      <x:c r="C20" s="2" t="str">
        <x:v>单人物料预算</x:v>
      </x:c>
      <x:c r="D20" s="11" t="n">
        <x:v>40</x:v>
      </x:c>
      <x:c r="E20" s="3"/>
      <x:c r="F20" s="30" t="str">
        <x:v>支付手续费按扣退款收款测算</x:v>
      </x:c>
      <x:c r="G20" s="30"/>
    </x:row>
    <x:row r="21" ht="25" customHeight="1">
      <x:c r="C21" s="2" t="str">
        <x:v>场地预算</x:v>
      </x:c>
      <x:c r="D21" s="11" t="n">
        <x:v>1800</x:v>
      </x:c>
      <x:c r="E21" s="3"/>
      <x:c r="F21" s="30"/>
      <x:c r="G21" s="30"/>
    </x:row>
    <x:row r="22" ht="25" customHeight="1">
      <x:c r="C22" s="2" t="str">
        <x:v>主持预算</x:v>
      </x:c>
      <x:c r="D22" s="11" t="n">
        <x:v>1000</x:v>
      </x:c>
      <x:c r="E22" s="3"/>
      <x:c r="F22" s="30" t="str">
        <x:v>执行480元为6小时×80预算</x:v>
      </x:c>
      <x:c r="G22" s="30"/>
    </x:row>
    <x:row r="23" ht="25" customHeight="1">
      <x:c r="C23" s="2" t="str">
        <x:v>摄影预算</x:v>
      </x:c>
      <x:c r="D23" s="11" t="n">
        <x:v>800</x:v>
      </x:c>
      <x:c r="E23" s="3"/>
      <x:c r="F23" s="30"/>
      <x:c r="G23" s="30"/>
    </x:row>
    <x:row r="24" ht="25" customHeight="1">
      <x:c r="C24" s="2" t="str">
        <x:v>执行工时预算</x:v>
      </x:c>
      <x:c r="D24" s="11" t="n">
        <x:v>480</x:v>
      </x:c>
      <x:c r="E24" s="3"/>
      <x:c r="F24" s="30" t="str">
        <x:v>实际工时和供应价格回来后替换</x:v>
      </x:c>
      <x:c r="G24" s="30"/>
    </x:row>
    <x:row r="25" ht="25" customHeight="1">
      <x:c r="C25" s="2" t="str">
        <x:v>其他固定预算</x:v>
      </x:c>
      <x:c r="D25" s="11" t="n">
        <x:v>300</x:v>
      </x:c>
      <x:c r="E25" s="3"/>
      <x:c r="F25" s="30"/>
      <x:c r="G25" s="30"/>
    </x:row>
    <x:row r="26" ht="25" customHeight="1">
      <x:c r="C26" s="2" t="str">
        <x:v>建议成行人数</x:v>
      </x:c>
      <x:c r="D26" s="20" t="n">
        <x:v>10</x:v>
      </x:c>
      <x:c r="E26" s="3"/>
      <x:c r="F26" s="30"/>
      <x:c r="G26" s="30"/>
    </x:row>
    <x:row r="27" ht="25" customHeight="1">
      <x:c r="C27" s="2"/>
      <x:c r="D27" s="3"/>
      <x:c r="E27" s="3"/>
      <x:c r="F27" s="30"/>
      <x:c r="G27" s="30"/>
    </x:row>
    <x:row r="28" ht="25" customHeight="1">
      <x:c r="C28" s="2" t="str">
        <x:v>校验 1有效 0待补</x:v>
      </x:c>
      <x:c r="D28" s="40" t="b">
        <x:f>AND(COUNT(D14:D26)=13,MIN(D14:D26)&gt;=0,D15&gt;0,D16&lt;1,D17&lt;1,D26&gt;0,D14=INT(D14),D26=INT(D26))</x:f>
        <x:v>1</x:v>
      </x:c>
      <x:c r="E28" s="3"/>
      <x:c r="F28" s="30"/>
      <x:c r="G28" s="30"/>
    </x:row>
    <x:row r="29" ht="25" customHeight="1">
      <x:c r="C29" s="2" t="str">
        <x:v>未扣退款收款额</x:v>
      </x:c>
      <x:c r="D29" s="14" t="n">
        <x:f>IF(D28,D14*D15,"需补有效输入")</x:f>
        <x:v>10560</x:v>
      </x:c>
      <x:c r="E29" s="3"/>
      <x:c r="F29" s="30"/>
      <x:c r="G29" s="30"/>
    </x:row>
    <x:row r="30" ht="25" customHeight="1">
      <x:c r="C30" s="2" t="str">
        <x:v>退款预留</x:v>
      </x:c>
      <x:c r="D30" s="14" t="n">
        <x:f>IF(D28,D29*D16,"需补有效输入")</x:f>
        <x:v>316.8</x:v>
      </x:c>
      <x:c r="E30" s="3"/>
      <x:c r="F30" s="30"/>
      <x:c r="G30" s="30"/>
    </x:row>
    <x:row r="31" ht="25" customHeight="1">
      <x:c r="C31" s="2" t="str">
        <x:v>扣退款后收款</x:v>
      </x:c>
      <x:c r="D31" s="14" t="n">
        <x:f>IF(D28,D29-D30,"需补有效输入")</x:f>
        <x:v>10243.2</x:v>
      </x:c>
      <x:c r="E31" s="3"/>
      <x:c r="F31" s="30"/>
      <x:c r="G31" s="30"/>
    </x:row>
    <x:row r="32" ht="25" customHeight="1">
      <x:c r="C32" s="2" t="str">
        <x:v>茶点与物料支出</x:v>
      </x:c>
      <x:c r="D32" s="14" t="n">
        <x:f>IF(D28,D14*SUM(D19:D20),"需补有效输入")</x:f>
        <x:v>2880</x:v>
      </x:c>
      <x:c r="E32" s="3"/>
      <x:c r="F32" s="30"/>
      <x:c r="G32" s="30"/>
    </x:row>
    <x:row r="33" ht="25" customHeight="1">
      <x:c r="C33" s="2" t="str">
        <x:v>固定交付支出</x:v>
      </x:c>
      <x:c r="D33" s="14" t="n">
        <x:f>IF(D28,SUM(D21:D25),"需补有效输入")</x:f>
        <x:v>4380</x:v>
      </x:c>
      <x:c r="E33" s="3"/>
      <x:c r="F33" s="30"/>
      <x:c r="G33" s="30"/>
    </x:row>
    <x:row r="34" ht="25" customHeight="1">
      <x:c r="C34" s="2" t="str">
        <x:v>获客支出</x:v>
      </x:c>
      <x:c r="D34" s="14" t="n">
        <x:f>IF(D28,D14*D18,"需补有效输入")</x:f>
        <x:v>960</x:v>
      </x:c>
      <x:c r="E34" s="3"/>
      <x:c r="F34" s="30"/>
      <x:c r="G34" s="30"/>
    </x:row>
    <x:row r="35" ht="25" customHeight="1">
      <x:c r="C35" s="2" t="str">
        <x:v>支付手续费</x:v>
      </x:c>
      <x:c r="D35" s="14" t="n">
        <x:f>IF(D28,D31*D17,"需补有效输入")</x:f>
        <x:v>61.4592</x:v>
      </x:c>
      <x:c r="E35" s="3"/>
      <x:c r="F35" s="30"/>
      <x:c r="G35" s="30"/>
    </x:row>
    <x:row r="36" ht="25" customHeight="1">
      <x:c r="C36" s="2" t="str">
        <x:v>单场贡献</x:v>
      </x:c>
      <x:c r="D36" s="14" t="n">
        <x:f>IF(D28,D31-SUM(D32:D35),"需补有效输入")</x:f>
        <x:v>1961.7408000000014</x:v>
      </x:c>
      <x:c r="E36" s="3"/>
      <x:c r="F36" s="30"/>
      <x:c r="G36" s="30"/>
    </x:row>
    <x:row r="37" ht="25" customHeight="1">
      <x:c r="C37" s="2" t="str">
        <x:v>贡献率</x:v>
      </x:c>
      <x:c r="D37" s="15" t="n">
        <x:f>IF(D28,IF(D31&gt;0,D36/D31,"无收款"),"需补有效输入")</x:f>
        <x:v>0.19151640112464868</x:v>
      </x:c>
      <x:c r="E37" s="3"/>
      <x:c r="F37" s="30"/>
      <x:c r="G37" s="30"/>
    </x:row>
    <x:row r="38" ht="25" customHeight="1">
      <x:c r="C38" s="2" t="str">
        <x:v>单人边际贡献</x:v>
      </x:c>
      <x:c r="D38" s="14" t="n">
        <x:f>IF(D28,D15*(1-D16)*(1-D17)-SUM(D18:D20),"需补有效输入")</x:f>
        <x:v>528.4784</x:v>
      </x:c>
      <x:c r="E38" s="3"/>
      <x:c r="F38" s="30"/>
      <x:c r="G38" s="30"/>
    </x:row>
    <x:row r="39" ht="25" customHeight="1">
      <x:c r="C39" s="2" t="str">
        <x:v>财务保本人数</x:v>
      </x:c>
      <x:c r="D39" s="40" t="n">
        <x:f>IF(D28,IF(D38&gt;0,ROUNDUP(D33/D38,0),"本价格无法保本"),"需补有效输入")</x:f>
        <x:v>9</x:v>
      </x:c>
      <x:c r="E39" s="3"/>
      <x:c r="F39" s="30"/>
      <x:c r="G39" s="30"/>
    </x:row>
    <x:row r="40" ht="25" customHeight="1">
      <x:c r="C40" s="2"/>
      <x:c r="D40" s="3"/>
      <x:c r="E40" s="3"/>
      <x:c r="F40" s="30"/>
      <x:c r="G40" s="30"/>
    </x:row>
    <x:row r="41" ht="25" customHeight="1">
      <x:c r="C41" s="2" t="str">
        <x:v>成行提示</x:v>
      </x:c>
      <x:c r="D41" s="16" t="str">
        <x:f>IF(D28,IF(D14&gt;=D26,"达到建议人数，另核客户结构","低于建议人数，先决定改期或获客试办"),"需补有效输入")</x:f>
        <x:v>达到建议人数，另核客户结构</x:v>
      </x:c>
      <x:c r="E41" s="17"/>
      <x:c r="F41" s="31"/>
      <x:c r="G41" s="31"/>
    </x:row>
    <x:row r="42" ht="25" customHeight="1">
      <x:c r="C42" s="2"/>
      <x:c r="D42" s="17"/>
      <x:c r="E42" s="17"/>
      <x:c r="F42" s="31"/>
      <x:c r="G42" s="31"/>
    </x:row>
    <x:row r="43" ht="25" customHeight="1">
      <x:c r="C43" s="2"/>
      <x:c r="D43" s="3"/>
      <x:c r="E43" s="3"/>
      <x:c r="F43" s="30"/>
      <x:c r="G43" s="30"/>
    </x:row>
    <x:row r="44" ht="25" customHeight="1">
      <x:c r="C44" s="2"/>
      <x:c r="D44" s="3"/>
      <x:c r="E44" s="3"/>
      <x:c r="F44" s="30"/>
      <x:c r="G44" s="30"/>
    </x:row>
    <x:row r="45" ht="25" customHeight="1">
      <x:c r="C45" s="2"/>
      <x:c r="D45" s="3"/>
      <x:c r="E45" s="3"/>
      <x:c r="F45" s="30"/>
      <x:c r="G45" s="30"/>
    </x:row>
    <x:row r="46" ht="25" customHeight="1">
      <x:c r="C46" s="2"/>
      <x:c r="D46" s="3"/>
      <x:c r="E46" s="3"/>
      <x:c r="F46" s="30"/>
      <x:c r="G46" s="30"/>
    </x:row>
    <x:row r="47" ht="25" customHeight="1">
      <x:c r="C47" s="2"/>
      <x:c r="D47" s="3"/>
      <x:c r="E47" s="3"/>
      <x:c r="F47" s="30"/>
      <x:c r="G47" s="30"/>
    </x:row>
    <x:row r="48" ht="25" customHeight="1">
      <x:c r="C48" s="2"/>
      <x:c r="D48" s="3"/>
      <x:c r="E48" s="3"/>
      <x:c r="F48" s="30"/>
      <x:c r="G48" s="30"/>
    </x:row>
    <x:row r="49" ht="25" customHeight="1">
      <x:c r="C49" s="2"/>
      <x:c r="D49" s="3"/>
      <x:c r="E49" s="3"/>
      <x:c r="F49" s="30"/>
      <x:c r="G49" s="30"/>
    </x:row>
    <x:row r="50" ht="25" customHeight="1">
      <x:c r="C50" s="2"/>
      <x:c r="D50" s="3"/>
      <x:c r="E50" s="3"/>
      <x:c r="F50" s="30"/>
      <x:c r="G50" s="30"/>
    </x:row>
    <x:row r="51" ht="25" customHeight="1">
      <x:c r="C51" s="2"/>
      <x:c r="D51" s="3"/>
      <x:c r="E51" s="3"/>
      <x:c r="F51" s="30"/>
      <x:c r="G51" s="30"/>
    </x:row>
    <x:row r="52" ht="25" customHeight="1">
      <x:c r="C52" s="2"/>
      <x:c r="D52" s="3"/>
      <x:c r="E52" s="3"/>
      <x:c r="F52" s="30"/>
      <x:c r="G52" s="30"/>
    </x:row>
    <x:row r="53" ht="25" customHeight="1">
      <x:c r="C53" s="2"/>
      <x:c r="D53" s="3"/>
      <x:c r="E53" s="3"/>
      <x:c r="F53" s="30"/>
      <x:c r="G53" s="30"/>
    </x:row>
    <x:row r="54" ht="25" customHeight="1">
      <x:c r="C54" s="2"/>
      <x:c r="D54" s="3"/>
      <x:c r="E54" s="3"/>
      <x:c r="F54" s="30"/>
      <x:c r="G54" s="30"/>
    </x:row>
    <x:row r="55" ht="25" customHeight="1">
      <x:c r="C55" s="2"/>
      <x:c r="D55" s="3"/>
      <x:c r="E55" s="3"/>
      <x:c r="F55" s="30"/>
      <x:c r="G55" s="30"/>
    </x:row>
    <x:row r="56" ht="25" customHeight="1">
      <x:c r="C56" s="2"/>
      <x:c r="D56" s="3"/>
      <x:c r="E56" s="3"/>
      <x:c r="F56" s="30"/>
      <x:c r="G56" s="30"/>
    </x:row>
    <x:row r="57" ht="25" customHeight="1">
      <x:c r="C57" s="2"/>
      <x:c r="D57" s="3"/>
      <x:c r="E57" s="3"/>
      <x:c r="F57" s="30"/>
      <x:c r="G57" s="30"/>
    </x:row>
    <x:row r="58" ht="25" customHeight="1">
      <x:c r="C58" s="2"/>
      <x:c r="D58" s="3"/>
      <x:c r="E58" s="3"/>
      <x:c r="F58" s="30"/>
      <x:c r="G58" s="30"/>
    </x:row>
    <x:row r="59" ht="25" customHeight="1">
      <x:c r="C59" s="2"/>
      <x:c r="D59" s="3"/>
      <x:c r="E59" s="3"/>
      <x:c r="F59" s="30"/>
      <x:c r="G59" s="30"/>
    </x:row>
    <x:row r="60" ht="25" customHeight="1">
      <x:c r="C60" s="2"/>
      <x:c r="D60" s="3"/>
      <x:c r="E60" s="3"/>
      <x:c r="F60" s="30"/>
      <x:c r="G60" s="30"/>
    </x:row>
    <x:row r="61" ht="25" customHeight="1">
      <x:c r="C61" s="2"/>
      <x:c r="D61" s="3"/>
      <x:c r="E61" s="3"/>
      <x:c r="F61" s="30"/>
      <x:c r="G61" s="30"/>
    </x:row>
    <x:row r="62" ht="25" customHeight="1">
      <x:c r="C62" s="2"/>
      <x:c r="D62" s="3"/>
      <x:c r="E62" s="3"/>
      <x:c r="F62" s="30"/>
      <x:c r="G62" s="30"/>
    </x:row>
    <x:row r="63" ht="25" customHeight="1">
      <x:c r="C63" s="2"/>
      <x:c r="D63" s="3"/>
      <x:c r="E63" s="3"/>
      <x:c r="F63" s="30"/>
      <x:c r="G63" s="30"/>
    </x:row>
    <x:row r="64" ht="25" customHeight="1">
      <x:c r="C64" s="2"/>
      <x:c r="D64" s="3"/>
      <x:c r="E64" s="3"/>
      <x:c r="F64" s="30"/>
      <x:c r="G64" s="30"/>
    </x:row>
    <x:row r="65" ht="25" customHeight="1">
      <x:c r="C65" s="2"/>
      <x:c r="D65" s="3"/>
      <x:c r="E65" s="3"/>
      <x:c r="F65" s="30"/>
      <x:c r="G65" s="30"/>
    </x:row>
    <x:row r="66" ht="25" customHeight="1">
      <x:c r="C66" s="2"/>
      <x:c r="D66" s="3"/>
      <x:c r="E66" s="3"/>
      <x:c r="F66" s="30"/>
      <x:c r="G66" s="30"/>
    </x:row>
    <x:row r="67" ht="25" customHeight="1">
      <x:c r="C67" s="2"/>
      <x:c r="D67" s="3"/>
      <x:c r="E67" s="3"/>
      <x:c r="F67" s="30"/>
      <x:c r="G67" s="30"/>
    </x:row>
    <x:row r="68" ht="25" customHeight="1">
      <x:c r="C68" s="2"/>
      <x:c r="D68" s="3"/>
      <x:c r="E68" s="3"/>
      <x:c r="F68" s="30"/>
      <x:c r="G68" s="30"/>
    </x:row>
    <x:row r="69" ht="25" customHeight="1">
      <x:c r="C69" s="2"/>
      <x:c r="D69" s="3"/>
      <x:c r="E69" s="3"/>
      <x:c r="F69" s="30"/>
      <x:c r="G69" s="30"/>
    </x:row>
    <x:row r="70" ht="25" customHeight="1">
      <x:c r="C70" s="2"/>
      <x:c r="D70" s="3"/>
      <x:c r="E70" s="3"/>
      <x:c r="F70" s="30"/>
      <x:c r="G70" s="30"/>
    </x:row>
    <x:row r="71" ht="25" customHeight="1">
      <x:c r="C71" s="2"/>
      <x:c r="D71" s="3"/>
      <x:c r="E71" s="3"/>
      <x:c r="F71" s="30"/>
      <x:c r="G71" s="30"/>
    </x:row>
    <x:row r="72" ht="25" customHeight="1">
      <x:c r="C72" s="2"/>
      <x:c r="D72" s="3"/>
      <x:c r="E72" s="3"/>
      <x:c r="F72" s="30"/>
      <x:c r="G72" s="30"/>
    </x:row>
    <x:row r="73" ht="25" customHeight="1">
      <x:c r="C73" s="2"/>
      <x:c r="D73" s="3"/>
      <x:c r="E73" s="3"/>
      <x:c r="F73" s="30"/>
      <x:c r="G73" s="30"/>
    </x:row>
    <x:row r="74" ht="25" customHeight="1">
      <x:c r="C74" s="2"/>
      <x:c r="D74" s="3"/>
      <x:c r="E74" s="3"/>
      <x:c r="F74" s="30"/>
      <x:c r="G74" s="30"/>
    </x:row>
    <x:row r="75" ht="25" customHeight="1">
      <x:c r="C75" s="2"/>
      <x:c r="D75" s="3"/>
      <x:c r="E75" s="3"/>
      <x:c r="F75" s="30"/>
      <x:c r="G75" s="30"/>
    </x:row>
    <x:row r="76" ht="25" customHeight="1">
      <x:c r="C76" s="2"/>
      <x:c r="D76" s="3"/>
      <x:c r="E76" s="3"/>
      <x:c r="F76" s="30"/>
      <x:c r="G76" s="30"/>
    </x:row>
    <x:row r="77" ht="25" customHeight="1">
      <x:c r="C77" s="2"/>
      <x:c r="D77" s="3"/>
      <x:c r="E77" s="3"/>
      <x:c r="F77" s="30"/>
      <x:c r="G77" s="30"/>
    </x:row>
    <x:row r="78" ht="25" customHeight="1">
      <x:c r="C78" s="2"/>
      <x:c r="D78" s="3"/>
      <x:c r="E78" s="3"/>
      <x:c r="F78" s="30"/>
      <x:c r="G78" s="30"/>
    </x:row>
    <x:row r="79" ht="25" customHeight="1">
      <x:c r="C79" s="2"/>
      <x:c r="D79" s="3"/>
      <x:c r="E79" s="3"/>
      <x:c r="F79" s="30"/>
      <x:c r="G79" s="30"/>
    </x:row>
    <x:row r="80" ht="25" customHeight="1">
      <x:c r="C80" s="2"/>
      <x:c r="D80" s="3"/>
      <x:c r="E80" s="3"/>
      <x:c r="F80" s="30"/>
      <x:c r="G80" s="30"/>
    </x:row>
  </x:sheetData>
  <x:mergeCells>
    <x:mergeCell ref="D41:G42"/>
  </x:mergeCells>
  <x:conditionalFormatting sqref="D36:D36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</x:cols>
  <x:sheetData>
    <x:row r="1" ht="25" customHeight="1">
      <x:c r="C1" s="2"/>
      <x:c r="D1" s="2"/>
      <x:c r="E1" s="2"/>
      <x:c r="F1" s="27"/>
      <x:c r="G1" s="27"/>
    </x:row>
    <x:row r="2" ht="36" customHeight="1">
      <x:c r="C2" s="4" t="str">
        <x:v>会员交付与名额成本</x:v>
      </x:c>
      <x:c r="D2" s="2"/>
      <x:c r="E2" s="2"/>
      <x:c r="F2" s="27"/>
      <x:c r="G2" s="27"/>
    </x:row>
    <x:row r="3" ht="25" customHeight="1">
      <x:c r="C3" s="5" t="str">
        <x:v>仅为建议配置。名额数已确认，名额等级未定；不把赠送名额计成新增收款。</x:v>
      </x:c>
      <x:c r="D3" s="2"/>
      <x:c r="E3" s="2"/>
      <x:c r="F3" s="27"/>
      <x:c r="G3" s="27"/>
    </x:row>
    <x:row r="4" ht="25" customHeight="1">
      <x:c r="C4" s="2" t="str">
        <x:v>名额类型 1基础 2理事</x:v>
      </x:c>
      <x:c r="D4" s="20" t="n">
        <x:v>2</x:v>
      </x:c>
      <x:c r="E4" s="2"/>
      <x:c r="F4" s="27"/>
      <x:c r="G4" s="27"/>
    </x:row>
    <x:row r="5" ht="25" customHeight="1">
      <x:c r="C5" s="2"/>
      <x:c r="D5" s="26"/>
      <x:c r="E5" s="26"/>
      <x:c r="F5" s="28"/>
      <x:c r="G5" s="28"/>
    </x:row>
    <x:row r="6" ht="25" customHeight="1">
      <x:c r="C6" s="2"/>
      <x:c r="D6" s="26"/>
      <x:c r="E6" s="26"/>
      <x:c r="F6" s="28"/>
      <x:c r="G6" s="28"/>
    </x:row>
    <x:row r="7" ht="25" customHeight="1">
      <x:c r="C7" s="8" t="str">
        <x:v>项目</x:v>
      </x:c>
      <x:c r="D7" s="9" t="str">
        <x:v>基础</x:v>
      </x:c>
      <x:c r="E7" s="9" t="str">
        <x:v>理事</x:v>
      </x:c>
      <x:c r="F7" s="29" t="str">
        <x:v>合作39,800</x:v>
      </x:c>
      <x:c r="G7" s="29" t="str">
        <x:v>合作98,000</x:v>
      </x:c>
    </x:row>
    <x:row r="8" ht="25" customHeight="1">
      <x:c r="C8" s="2" t="str">
        <x:v>每档收款价格</x:v>
      </x:c>
      <x:c r="D8" s="24" t="n">
        <x:v>1280</x:v>
      </x:c>
      <x:c r="E8" s="24" t="n">
        <x:v>19800</x:v>
      </x:c>
      <x:c r="F8" s="32" t="n">
        <x:v>39800</x:v>
      </x:c>
      <x:c r="G8" s="32" t="n">
        <x:v>98000</x:v>
      </x:c>
    </x:row>
    <x:row r="9" ht="25" customHeight="1">
      <x:c r="C9" s="2" t="str">
        <x:v>本人全年履约成本</x:v>
      </x:c>
      <x:c r="D9" s="14" t="n">
        <x:f>IF($D$23,$D$40,"缺少履约输入")</x:f>
        <x:v>520</x:v>
      </x:c>
      <x:c r="E9" s="14" t="n">
        <x:f>IF($D$23,$D$41,"缺少履约输入")</x:f>
        <x:v>8080</x:v>
      </x:c>
      <x:c r="F9" s="33" t="n">
        <x:f>IF($D$23,$D$41,"缺少履约输入")</x:f>
        <x:v>8080</x:v>
      </x:c>
      <x:c r="G9" s="33" t="n">
        <x:f>IF($D$23,$D$41,"缺少履约输入")</x:f>
        <x:v>8080</x:v>
      </x:c>
    </x:row>
    <x:row r="10" ht="25" customHeight="1">
      <x:c r="C10" s="2" t="str">
        <x:v>配套名额人数</x:v>
      </x:c>
      <x:c r="D10" s="21" t="n">
        <x:v>0</x:v>
      </x:c>
      <x:c r="E10" s="21" t="n">
        <x:v>0</x:v>
      </x:c>
      <x:c r="F10" s="34" t="n">
        <x:v>3</x:v>
      </x:c>
      <x:c r="G10" s="34" t="n">
        <x:v>6</x:v>
      </x:c>
    </x:row>
    <x:row r="11" ht="25" customHeight="1">
      <x:c r="C11" s="2" t="str">
        <x:v>名额单人履约成本</x:v>
      </x:c>
      <x:c r="D11" s="14" t="n">
        <x:f>IF($D$23,0,"缺少履约输入")</x:f>
        <x:v>0</x:v>
      </x:c>
      <x:c r="E11" s="14" t="n">
        <x:f>IF($D$23,0,"缺少履约输入")</x:f>
        <x:v>0</x:v>
      </x:c>
      <x:c r="F11" s="33" t="n">
        <x:f>IF($D$23,IF($D$4=1,$D$40,$D$41),"缺少履约输入")</x:f>
        <x:v>8080</x:v>
      </x:c>
      <x:c r="G11" s="33" t="n">
        <x:f>IF($D$23,IF($D$4=1,$D$40,$D$41),"缺少履约输入")</x:f>
        <x:v>8080</x:v>
      </x:c>
    </x:row>
    <x:row r="12" ht="25" customHeight="1">
      <x:c r="C12" s="2" t="str">
        <x:v>配套名额总成本</x:v>
      </x:c>
      <x:c r="D12" s="14" t="n">
        <x:f>IF($D$23,D10*D11,"缺少履约输入")</x:f>
        <x:v>0</x:v>
      </x:c>
      <x:c r="E12" s="14" t="n">
        <x:f>IF($D$23,E10*E11,"缺少履约输入")</x:f>
        <x:v>0</x:v>
      </x:c>
      <x:c r="F12" s="33" t="n">
        <x:f>IF($D$23,F10*F11,"缺少履约输入")</x:f>
        <x:v>24240</x:v>
      </x:c>
      <x:c r="G12" s="33" t="n">
        <x:f>IF($D$23,G10*G11,"缺少履约输入")</x:f>
        <x:v>48480</x:v>
      </x:c>
    </x:row>
    <x:row r="13" ht="25" customHeight="1">
      <x:c r="C13" s="2" t="str">
        <x:v>合作服务成本</x:v>
      </x:c>
      <x:c r="D13" s="11" t="n">
        <x:v>0</x:v>
      </x:c>
      <x:c r="E13" s="11" t="n">
        <x:v>0</x:v>
      </x:c>
      <x:c r="F13" s="35" t="n">
        <x:v>5000</x:v>
      </x:c>
      <x:c r="G13" s="35" t="n">
        <x:v>20000</x:v>
      </x:c>
    </x:row>
    <x:row r="14" ht="25" customHeight="1">
      <x:c r="C14" s="2" t="str">
        <x:v>直接履约成本合计</x:v>
      </x:c>
      <x:c r="D14" s="14" t="n">
        <x:f>IF($D$23,SUM(D9,D12:D13),"缺少履约输入")</x:f>
        <x:v>520</x:v>
      </x:c>
      <x:c r="E14" s="14" t="n">
        <x:f>IF($D$23,SUM(E9,E12:E13),"缺少履约输入")</x:f>
        <x:v>8080</x:v>
      </x:c>
      <x:c r="F14" s="33" t="n">
        <x:f>IF($D$23,SUM(F9,F12:F13),"缺少履约输入")</x:f>
        <x:v>37320</x:v>
      </x:c>
      <x:c r="G14" s="33" t="n">
        <x:f>IF($D$23,SUM(G9,G12:G13),"缺少履约输入")</x:f>
        <x:v>76560</x:v>
      </x:c>
    </x:row>
    <x:row r="15" ht="25" customHeight="1">
      <x:c r="C15" s="2" t="str">
        <x:v>单档获客预算</x:v>
      </x:c>
      <x:c r="D15" s="11" t="n">
        <x:v>300</x:v>
      </x:c>
      <x:c r="E15" s="11" t="n">
        <x:v>1500</x:v>
      </x:c>
      <x:c r="F15" s="35" t="n">
        <x:v>3000</x:v>
      </x:c>
      <x:c r="G15" s="35" t="n">
        <x:v>5000</x:v>
      </x:c>
    </x:row>
    <x:row r="16" ht="25" customHeight="1">
      <x:c r="C16" s="2" t="str">
        <x:v>普通会员销售佣金比例</x:v>
      </x:c>
      <x:c r="D16" s="12" t="n">
        <x:v>0.05</x:v>
      </x:c>
      <x:c r="E16" s="12" t="n">
        <x:v>0.05</x:v>
      </x:c>
      <x:c r="F16" s="36" t="n">
        <x:v>0</x:v>
      </x:c>
      <x:c r="G16" s="36" t="n">
        <x:v>0</x:v>
      </x:c>
    </x:row>
    <x:row r="17" ht="25" customHeight="1">
      <x:c r="C17" s="2" t="str">
        <x:v>支付手续费预算比例</x:v>
      </x:c>
      <x:c r="D17" s="23" t="n">
        <x:f>'单场活动'!D17</x:f>
        <x:v>0.006</x:v>
      </x:c>
      <x:c r="E17" s="23" t="n">
        <x:f>'单场活动'!D17</x:f>
        <x:v>0.006</x:v>
      </x:c>
      <x:c r="F17" s="37" t="n">
        <x:f>'单场活动'!D17</x:f>
        <x:v>0.006</x:v>
      </x:c>
      <x:c r="G17" s="37" t="n">
        <x:f>'单场活动'!D17</x:f>
        <x:v>0.006</x:v>
      </x:c>
    </x:row>
    <x:row r="18" ht="25" customHeight="1">
      <x:c r="C18" s="2" t="str">
        <x:v>销售佣金</x:v>
      </x:c>
      <x:c r="D18" s="14" t="n">
        <x:f>IF($D$23,D8*D16,"缺少履约输入")</x:f>
        <x:v>64</x:v>
      </x:c>
      <x:c r="E18" s="14" t="n">
        <x:f>IF($D$23,E8*E16,"缺少履约输入")</x:f>
        <x:v>990</x:v>
      </x:c>
      <x:c r="F18" s="33" t="n">
        <x:f>IF($D$23,F8*F16,"缺少履约输入")</x:f>
        <x:v>0</x:v>
      </x:c>
      <x:c r="G18" s="33" t="n">
        <x:f>IF($D$23,G8*G16,"缺少履约输入")</x:f>
        <x:v>0</x:v>
      </x:c>
    </x:row>
    <x:row r="19" ht="25" customHeight="1">
      <x:c r="C19" s="2" t="str">
        <x:v>支付手续费</x:v>
      </x:c>
      <x:c r="D19" s="14" t="n">
        <x:f>IF($D$23,D8*D17,"缺少履约输入")</x:f>
        <x:v>7.68</x:v>
      </x:c>
      <x:c r="E19" s="14" t="n">
        <x:f>IF($D$23,E8*E17,"缺少履约输入")</x:f>
        <x:v>118.8</x:v>
      </x:c>
      <x:c r="F19" s="33" t="n">
        <x:f>IF($D$23,F8*F17,"缺少履约输入")</x:f>
        <x:v>238.8</x:v>
      </x:c>
      <x:c r="G19" s="33" t="n">
        <x:f>IF($D$23,G8*G17,"缺少履约输入")</x:f>
        <x:v>588</x:v>
      </x:c>
    </x:row>
    <x:row r="20" ht="25" customHeight="1">
      <x:c r="C20" s="2" t="str">
        <x:v>直接贡献 未扣公司固定开支</x:v>
      </x:c>
      <x:c r="D20" s="14" t="n">
        <x:f>IF($D$23,D8-D14-D15-D18-D19,"缺少履约输入")</x:f>
        <x:v>388.32</x:v>
      </x:c>
      <x:c r="E20" s="14" t="n">
        <x:f>IF($D$23,E8-E14-E15-E18-E19,"缺少履约输入")</x:f>
        <x:v>9111.2</x:v>
      </x:c>
      <x:c r="F20" s="33" t="n">
        <x:f>IF($D$23,F8-F14-F15-F18-F19,"缺少履约输入")</x:f>
        <x:v>-758.8</x:v>
      </x:c>
      <x:c r="G20" s="33" t="n">
        <x:f>IF($D$23,G8-G14-G15-G18-G19,"缺少履约输入")</x:f>
        <x:v>15852</x:v>
      </x:c>
    </x:row>
    <x:row r="21" ht="25" customHeight="1">
      <x:c r="C21" s="2" t="str">
        <x:v>直接贡献率</x:v>
      </x:c>
      <x:c r="D21" s="15" t="n">
        <x:f>IF($D$23,IF(D8&gt;0,D20/D8,"缺少价格"),"缺少履约输入")</x:f>
        <x:v>0.303375</x:v>
      </x:c>
      <x:c r="E21" s="15" t="n">
        <x:f>IF($D$23,IF(E8&gt;0,E20/E8,"缺少价格"),"缺少履约输入")</x:f>
        <x:v>0.4601616161616162</x:v>
      </x:c>
      <x:c r="F21" s="38" t="n">
        <x:f>IF($D$23,IF(F8&gt;0,F20/F8,"缺少价格"),"缺少履约输入")</x:f>
        <x:v>-0.01906532663316583</x:v>
      </x:c>
      <x:c r="G21" s="38" t="n">
        <x:f>IF($D$23,IF(G8&gt;0,G20/G8,"缺少价格"),"缺少履约输入")</x:f>
        <x:v>0.16175510204081633</x:v>
      </x:c>
    </x:row>
    <x:row r="22" ht="25" customHeight="1">
      <x:c r="C22" s="2"/>
      <x:c r="D22" s="3"/>
      <x:c r="E22" s="3"/>
      <x:c r="F22" s="30"/>
      <x:c r="G22" s="30"/>
    </x:row>
    <x:row r="23" ht="25" customHeight="1">
      <x:c r="C23" s="2" t="str">
        <x:v>校验 1有效 0待补</x:v>
      </x:c>
      <x:c r="D23" s="40" t="b">
        <x:f>AND(COUNT(D26:D38)=13,MIN(D26:D38)&gt;=0,OR(D4=1,D4=2))</x:f>
        <x:v>1</x:v>
      </x:c>
      <x:c r="E23" s="3"/>
      <x:c r="F23" s="30"/>
      <x:c r="G23" s="30"/>
    </x:row>
    <x:row r="24" ht="25" customHeight="1">
      <x:c r="C24" s="2"/>
      <x:c r="D24" s="3"/>
      <x:c r="E24" s="3"/>
      <x:c r="F24" s="30" t="str">
        <x:v>3/6个名额不可直接转成销售收入</x:v>
      </x:c>
      <x:c r="G24" s="30"/>
    </x:row>
    <x:row r="25" ht="25" customHeight="1">
      <x:c r="C25" s="2" t="str">
        <x:v>履约单价及权益数量</x:v>
      </x:c>
      <x:c r="D25" s="3"/>
      <x:c r="E25" s="3"/>
      <x:c r="F25" s="30"/>
      <x:c r="G25" s="30"/>
    </x:row>
    <x:row r="26" ht="25" customHeight="1">
      <x:c r="C26" s="2" t="str">
        <x:v>沙龙每席分摊成本</x:v>
      </x:c>
      <x:c r="D26" s="11" t="n">
        <x:v>120</x:v>
      </x:c>
      <x:c r="E26" s="3"/>
      <x:c r="F26" s="30"/>
      <x:c r="G26" s="30"/>
    </x:row>
    <x:row r="27" ht="25" customHeight="1">
      <x:c r="C27" s="2" t="str">
        <x:v>晚宴每席分摊成本</x:v>
      </x:c>
      <x:c r="D27" s="11" t="n">
        <x:v>800</x:v>
      </x:c>
      <x:c r="E27" s="3"/>
      <x:c r="F27" s="30" t="str">
        <x:v>沙龙120＝场次成本按席分摊假设</x:v>
      </x:c>
      <x:c r="G27" s="30"/>
    </x:row>
    <x:row r="28" ht="25" customHeight="1">
      <x:c r="C28" s="2" t="str">
        <x:v>兴趣体验每席分摊成本</x:v>
      </x:c>
      <x:c r="D28" s="11" t="n">
        <x:v>600</x:v>
      </x:c>
      <x:c r="E28" s="3"/>
      <x:c r="F28" s="30"/>
      <x:c r="G28" s="30"/>
    </x:row>
    <x:row r="29" ht="25" customHeight="1">
      <x:c r="C29" s="2" t="str">
        <x:v>年度服务每小时成本</x:v>
      </x:c>
      <x:c r="D29" s="11" t="n">
        <x:v>80</x:v>
      </x:c>
      <x:c r="E29" s="3"/>
      <x:c r="F29" s="30" t="str">
        <x:v>4次理事沟通＋22小时服务</x:v>
      </x:c>
      <x:c r="G29" s="30"/>
    </x:row>
    <x:row r="30" ht="25" customHeight="1">
      <x:c r="C30" s="2" t="str">
        <x:v>基础入会沟通成本</x:v>
      </x:c>
      <x:c r="D30" s="11" t="n">
        <x:v>120</x:v>
      </x:c>
      <x:c r="E30" s="3"/>
      <x:c r="F30" s="30"/>
      <x:c r="G30" s="30"/>
    </x:row>
    <x:row r="31" ht="25" customHeight="1">
      <x:c r="C31" s="2" t="str">
        <x:v>理事交流沟通每次成本</x:v>
      </x:c>
      <x:c r="D31" s="11" t="n">
        <x:v>120</x:v>
      </x:c>
      <x:c r="E31" s="3"/>
      <x:c r="F31" s="30" t="str">
        <x:v>名额全部使用，按足额预留</x:v>
      </x:c>
      <x:c r="G31" s="30"/>
    </x:row>
    <x:row r="32" ht="25" customHeight="1">
      <x:c r="C32" s="2" t="str">
        <x:v>基础沙龙次数</x:v>
      </x:c>
      <x:c r="D32" s="20" t="n">
        <x:v>2</x:v>
      </x:c>
      <x:c r="E32" s="3"/>
      <x:c r="F32" s="30"/>
      <x:c r="G32" s="30"/>
    </x:row>
    <x:row r="33" ht="25" customHeight="1">
      <x:c r="C33" s="2" t="str">
        <x:v>基础年度服务小时</x:v>
      </x:c>
      <x:c r="D33" s="20" t="n">
        <x:v>2</x:v>
      </x:c>
      <x:c r="E33" s="3"/>
      <x:c r="F33" s="30" t="str">
        <x:v>全年活动成本不再重复相加</x:v>
      </x:c>
      <x:c r="G33" s="30"/>
    </x:row>
    <x:row r="34" ht="25" customHeight="1">
      <x:c r="C34" s="2" t="str">
        <x:v>理事沙龙次数</x:v>
      </x:c>
      <x:c r="D34" s="20" t="n">
        <x:v>12</x:v>
      </x:c>
      <x:c r="E34" s="3"/>
      <x:c r="F34" s="30"/>
      <x:c r="G34" s="30"/>
    </x:row>
    <x:row r="35" ht="25" customHeight="1">
      <x:c r="C35" s="2" t="str">
        <x:v>理事晚宴次数</x:v>
      </x:c>
      <x:c r="D35" s="20" t="n">
        <x:v>4</x:v>
      </x:c>
      <x:c r="E35" s="3"/>
      <x:c r="F35" s="30" t="str">
        <x:v>公司人员与税费尚未扣除</x:v>
      </x:c>
      <x:c r="G35" s="30"/>
    </x:row>
    <x:row r="36" ht="25" customHeight="1">
      <x:c r="C36" s="2" t="str">
        <x:v>理事体验次数</x:v>
      </x:c>
      <x:c r="D36" s="20" t="n">
        <x:v>2</x:v>
      </x:c>
      <x:c r="E36" s="3"/>
      <x:c r="F36" s="30"/>
      <x:c r="G36" s="30"/>
    </x:row>
    <x:row r="37" ht="25" customHeight="1">
      <x:c r="C37" s="2" t="str">
        <x:v>理事交流沟通次数</x:v>
      </x:c>
      <x:c r="D37" s="20" t="n">
        <x:v>4</x:v>
      </x:c>
      <x:c r="E37" s="3"/>
      <x:c r="F37" s="30" t="str">
        <x:v>合作服务5000/20000为预算</x:v>
      </x:c>
      <x:c r="G37" s="30"/>
    </x:row>
    <x:row r="38" ht="25" customHeight="1">
      <x:c r="C38" s="2" t="str">
        <x:v>理事年度服务小时</x:v>
      </x:c>
      <x:c r="D38" s="20" t="n">
        <x:v>22</x:v>
      </x:c>
      <x:c r="E38" s="3"/>
      <x:c r="F38" s="30"/>
      <x:c r="G38" s="30"/>
    </x:row>
    <x:row r="39" ht="25" customHeight="1">
      <x:c r="C39" s="2"/>
      <x:c r="D39" s="3"/>
      <x:c r="E39" s="3"/>
      <x:c r="F39" s="30"/>
      <x:c r="G39" s="30"/>
    </x:row>
    <x:row r="40" ht="25" customHeight="1">
      <x:c r="C40" s="2" t="str">
        <x:v>基础单人年履约成本</x:v>
      </x:c>
      <x:c r="D40" s="14" t="n">
        <x:f>IF(D23,D26*D32+D30+D29*D33,"缺少履约输入")</x:f>
        <x:v>520</x:v>
      </x:c>
      <x:c r="E40" s="3"/>
      <x:c r="F40" s="30"/>
      <x:c r="G40" s="30"/>
    </x:row>
    <x:row r="41" ht="25" customHeight="1">
      <x:c r="C41" s="2" t="str">
        <x:v>理事单人年履约成本</x:v>
      </x:c>
      <x:c r="D41" s="14" t="n">
        <x:f>IF(D23,D26*D34+D27*D35+D28*D36+D31*D37+D29*D38,"缺少履约输入")</x:f>
        <x:v>8080</x:v>
      </x:c>
      <x:c r="E41" s="3"/>
      <x:c r="F41" s="30"/>
      <x:c r="G41" s="30"/>
    </x:row>
    <x:row r="42" ht="25" customHeight="1">
      <x:c r="C42" s="2"/>
      <x:c r="D42" s="3"/>
      <x:c r="E42" s="3"/>
      <x:c r="F42" s="30"/>
      <x:c r="G42" s="30"/>
    </x:row>
    <x:row r="43" ht="25" customHeight="1">
      <x:c r="C43" s="2"/>
      <x:c r="D43" s="3"/>
      <x:c r="E43" s="3"/>
      <x:c r="F43" s="30"/>
      <x:c r="G43" s="30"/>
    </x:row>
    <x:row r="44" ht="25" customHeight="1">
      <x:c r="C44" s="8" t="str">
        <x:v>付费人数假设</x:v>
      </x:c>
      <x:c r="D44" s="9" t="str">
        <x:v>基础</x:v>
      </x:c>
      <x:c r="E44" s="9" t="str">
        <x:v>理事</x:v>
      </x:c>
      <x:c r="F44" s="29" t="str">
        <x:v>合作39,800</x:v>
      </x:c>
      <x:c r="G44" s="29" t="str">
        <x:v>合作98,000</x:v>
      </x:c>
    </x:row>
    <x:row r="45" ht="25" customHeight="1">
      <x:c r="C45" s="2"/>
      <x:c r="D45" s="20" t="n">
        <x:v>6</x:v>
      </x:c>
      <x:c r="E45" s="20" t="n">
        <x:v>8</x:v>
      </x:c>
      <x:c r="F45" s="39" t="n">
        <x:v>4</x:v>
      </x:c>
      <x:c r="G45" s="39" t="n">
        <x:v>2</x:v>
      </x:c>
    </x:row>
    <x:row r="46" ht="25" customHeight="1">
      <x:c r="C46" s="2" t="str">
        <x:v>理事等级服务人数 含名额</x:v>
      </x:c>
      <x:c r="D46" s="40" t="n">
        <x:f>IF(AND($D$23,COUNT(D45:G45)=4,MIN(D45:G45)&gt;=0),E45+F45+G45+IF($D$4=2,F45*F10+G45*G10,0),"缺少人数或履约输入")</x:f>
        <x:v>38</x:v>
      </x:c>
      <x:c r="E46" s="3"/>
      <x:c r="F46" s="30"/>
      <x:c r="G46" s="30"/>
    </x:row>
    <x:row r="47" ht="25" customHeight="1">
      <x:c r="C47" s="2" t="str">
        <x:v>基础等级服务人数 含名额</x:v>
      </x:c>
      <x:c r="D47" s="40" t="n">
        <x:f>IF(AND($D$23,COUNT(D45:G45)=4,MIN(D45:G45)&gt;=0),D45+IF($D$4=1,F45*F10+G45*G10,0),"缺少人数或履约输入")</x:f>
        <x:v>6</x:v>
      </x:c>
      <x:c r="E47" s="3"/>
      <x:c r="F47" s="30"/>
      <x:c r="G47" s="30"/>
    </x:row>
    <x:row r="48" ht="25" customHeight="1">
      <x:c r="C48" s="2" t="str">
        <x:v>实际服务人数</x:v>
      </x:c>
      <x:c r="D48" s="40" t="n">
        <x:f>IF(AND($D$23,COUNT(D45:G45)=4,MIN(D45:G45)&gt;=0),SUM(D46:D47),"缺少人数或履约输入")</x:f>
        <x:v>44</x:v>
      </x:c>
      <x:c r="E48" s="3"/>
      <x:c r="F48" s="30"/>
      <x:c r="G48" s="30"/>
    </x:row>
    <x:row r="49" ht="25" customHeight="1">
      <x:c r="C49" s="2" t="str">
        <x:v>年度签约收款情景</x:v>
      </x:c>
      <x:c r="D49" s="14" t="n">
        <x:f>IF(AND($D$23,COUNT(D45:G45)=4,MIN(D45:G45)&gt;=0),SUMPRODUCT(D8:G8,D45:G45),"缺少人数或履约输入")</x:f>
        <x:v>521280</x:v>
      </x:c>
      <x:c r="E49" s="3"/>
      <x:c r="F49" s="30"/>
      <x:c r="G49" s="30"/>
    </x:row>
    <x:row r="50" ht="25" customHeight="1">
      <x:c r="C50" s="2" t="str">
        <x:v>年度承诺履约预算</x:v>
      </x:c>
      <x:c r="D50" s="14" t="n">
        <x:f>IF(AND($D$23,COUNT(D45:G45)=4,MIN(D45:G45)&gt;=0),SUMPRODUCT(D14:G14,D45:G45),"缺少人数或履约输入")</x:f>
        <x:v>370160</x:v>
      </x:c>
      <x:c r="E50" s="3"/>
      <x:c r="F50" s="30"/>
      <x:c r="G50" s="30"/>
    </x:row>
    <x:row r="51" ht="25" customHeight="1">
      <x:c r="C51" s="2" t="str">
        <x:v>获客佣金及支付预算</x:v>
      </x:c>
      <x:c r="D51" s="14" t="n">
        <x:f>IF(AND($D$23,COUNT(D45:G45)=4,MIN(D45:G45)&gt;=0),SUMPRODUCT(D15:G15,D45:G45)+SUMPRODUCT(D18:G18,D45:G45)+SUMPRODUCT(D19:G19,D45:G45),"缺少人数或履约输入")</x:f>
        <x:v>47231.68</x:v>
      </x:c>
      <x:c r="E51" s="3"/>
      <x:c r="F51" s="30"/>
      <x:c r="G51" s="30"/>
    </x:row>
    <x:row r="52" ht="25" customHeight="1">
      <x:c r="C52" s="2" t="str">
        <x:v>年度直接贡献</x:v>
      </x:c>
      <x:c r="D52" s="14" t="n">
        <x:f>IF(AND($D$23,COUNT(D45:G45)=4,MIN(D45:G45)&gt;=0),D49-D50-D51,"缺少人数或履约输入")</x:f>
        <x:v>103888.32</x:v>
      </x:c>
      <x:c r="E52" s="3"/>
      <x:c r="F52" s="30"/>
      <x:c r="G52" s="30"/>
    </x:row>
    <x:row r="53" ht="25" customHeight="1">
      <x:c r="C53" s="2"/>
      <x:c r="D53" s="3"/>
      <x:c r="E53" s="3"/>
      <x:c r="F53" s="30"/>
      <x:c r="G53" s="30"/>
    </x:row>
    <x:row r="54" ht="25" customHeight="1">
      <x:c r="C54" s="8" t="str">
        <x:v>活动席位及产能</x:v>
      </x:c>
      <x:c r="D54" s="9" t="str">
        <x:v>全年需求</x:v>
      </x:c>
      <x:c r="E54" s="9" t="str">
        <x:v>全年容量</x:v>
      </x:c>
      <x:c r="F54" s="29" t="str">
        <x:v>余缺席位</x:v>
      </x:c>
      <x:c r="G54" s="29" t="str">
        <x:v>说明</x:v>
      </x:c>
    </x:row>
    <x:row r="55" ht="25" customHeight="1">
      <x:c r="C55" s="2" t="str">
        <x:v>沙龙</x:v>
      </x:c>
      <x:c r="D55" s="40" t="n">
        <x:f>IF(ISNUMBER(D46),D46*D34+D47*D32,"待补")</x:f>
        <x:v>468</x:v>
      </x:c>
      <x:c r="E55" s="40" t="n">
        <x:f>D60*D61</x:f>
        <x:v>288</x:v>
      </x:c>
      <x:c r="F55" s="41" t="n">
        <x:f>IF(ISNUMBER(D55),E55-D55,"待补")</x:f>
        <x:v>-180</x:v>
      </x:c>
      <x:c r="G55" s="30" t="str">
        <x:v>负值须增场或重配权益</x:v>
      </x:c>
    </x:row>
    <x:row r="56" ht="25" customHeight="1">
      <x:c r="C56" s="2" t="str">
        <x:v>晚宴</x:v>
      </x:c>
      <x:c r="D56" s="40" t="n">
        <x:f>IF(ISNUMBER(D46),D46*D35,"待补")</x:f>
        <x:v>152</x:v>
      </x:c>
      <x:c r="E56" s="40" t="n">
        <x:f>D62*D63</x:f>
        <x:v>80</x:v>
      </x:c>
      <x:c r="F56" s="41" t="n">
        <x:f>IF(ISNUMBER(D56),E56-D56,"待补")</x:f>
        <x:v>-72</x:v>
      </x:c>
      <x:c r="G56" s="30" t="str">
        <x:v>负值须增场或重配权益</x:v>
      </x:c>
    </x:row>
    <x:row r="57" ht="25" customHeight="1">
      <x:c r="C57" s="2" t="str">
        <x:v>兴趣体验</x:v>
      </x:c>
      <x:c r="D57" s="40" t="n">
        <x:f>IF(ISNUMBER(D46),D46*D36,"待补")</x:f>
        <x:v>76</x:v>
      </x:c>
      <x:c r="E57" s="40" t="n">
        <x:f>D64*D65</x:f>
        <x:v>64</x:v>
      </x:c>
      <x:c r="F57" s="41" t="n">
        <x:f>IF(ISNUMBER(D57),E57-D57,"待补")</x:f>
        <x:v>-12</x:v>
      </x:c>
      <x:c r="G57" s="30" t="str">
        <x:v>负值须增场或重配权益</x:v>
      </x:c>
    </x:row>
    <x:row r="58" ht="25" customHeight="1">
      <x:c r="C58" s="2" t="str">
        <x:v>产能判断</x:v>
      </x:c>
      <x:c r="D58" s="16" t="str">
        <x:f>IF(COUNT(F55:F57)=3,IF(MIN(F55:F57)&gt;=0,"本假设容量满足","席位不足，需增场或调整"),"待补输入")</x:f>
        <x:v>席位不足，需增场或调整</x:v>
      </x:c>
      <x:c r="E58" s="17"/>
      <x:c r="F58" s="31"/>
      <x:c r="G58" s="31"/>
    </x:row>
    <x:row r="59" ht="25" customHeight="1">
      <x:c r="C59" s="2"/>
      <x:c r="D59" s="3"/>
      <x:c r="E59" s="3"/>
      <x:c r="F59" s="30"/>
      <x:c r="G59" s="30"/>
    </x:row>
    <x:row r="60" ht="25" customHeight="1">
      <x:c r="C60" s="2" t="str">
        <x:v>年度沙龙场次</x:v>
      </x:c>
      <x:c r="D60" s="20" t="n">
        <x:v>24</x:v>
      </x:c>
      <x:c r="E60" s="3"/>
      <x:c r="F60" s="30"/>
      <x:c r="G60" s="30"/>
    </x:row>
    <x:row r="61" ht="25" customHeight="1">
      <x:c r="C61" s="2" t="str">
        <x:v>每场沙龙人数</x:v>
      </x:c>
      <x:c r="D61" s="20" t="n">
        <x:v>12</x:v>
      </x:c>
      <x:c r="E61" s="3"/>
      <x:c r="F61" s="30"/>
      <x:c r="G61" s="30"/>
    </x:row>
    <x:row r="62" ht="25" customHeight="1">
      <x:c r="C62" s="2" t="str">
        <x:v>年度晚宴场次</x:v>
      </x:c>
      <x:c r="D62" s="20" t="n">
        <x:v>4</x:v>
      </x:c>
      <x:c r="E62" s="3"/>
      <x:c r="F62" s="30"/>
      <x:c r="G62" s="30"/>
    </x:row>
    <x:row r="63" ht="25" customHeight="1">
      <x:c r="C63" s="2" t="str">
        <x:v>每场晚宴人数</x:v>
      </x:c>
      <x:c r="D63" s="20" t="n">
        <x:v>20</x:v>
      </x:c>
      <x:c r="E63" s="3"/>
      <x:c r="F63" s="30"/>
      <x:c r="G63" s="30"/>
    </x:row>
    <x:row r="64" ht="25" customHeight="1">
      <x:c r="C64" s="2" t="str">
        <x:v>年度体验场次</x:v>
      </x:c>
      <x:c r="D64" s="20" t="n">
        <x:v>4</x:v>
      </x:c>
      <x:c r="E64" s="3"/>
      <x:c r="F64" s="30"/>
      <x:c r="G64" s="30"/>
    </x:row>
    <x:row r="65" ht="25" customHeight="1">
      <x:c r="C65" s="2" t="str">
        <x:v>每场体验人数</x:v>
      </x:c>
      <x:c r="D65" s="20" t="n">
        <x:v>16</x:v>
      </x:c>
      <x:c r="E65" s="3"/>
      <x:c r="F65" s="30"/>
      <x:c r="G65" s="30"/>
    </x:row>
    <x:row r="66" ht="25" customHeight="1">
      <x:c r="C66" s="2"/>
      <x:c r="D66" s="3"/>
      <x:c r="E66" s="3"/>
      <x:c r="F66" s="30"/>
      <x:c r="G66" s="30"/>
    </x:row>
    <x:row r="67" ht="25" customHeight="1">
      <x:c r="C67" s="2"/>
      <x:c r="D67" s="3"/>
      <x:c r="E67" s="3"/>
      <x:c r="F67" s="30"/>
      <x:c r="G67" s="30"/>
    </x:row>
    <x:row r="68" ht="25" customHeight="1">
      <x:c r="C68" s="2"/>
      <x:c r="D68" s="3"/>
      <x:c r="E68" s="3"/>
      <x:c r="F68" s="30"/>
      <x:c r="G68" s="30"/>
    </x:row>
    <x:row r="69" ht="25" customHeight="1">
      <x:c r="C69" s="2"/>
      <x:c r="D69" s="3"/>
      <x:c r="E69" s="3"/>
      <x:c r="F69" s="30"/>
      <x:c r="G69" s="30"/>
    </x:row>
    <x:row r="70" ht="25" customHeight="1">
      <x:c r="C70" s="2"/>
      <x:c r="D70" s="3"/>
      <x:c r="E70" s="3"/>
      <x:c r="F70" s="30"/>
      <x:c r="G70" s="30"/>
    </x:row>
    <x:row r="71" ht="25" customHeight="1">
      <x:c r="C71" s="2"/>
      <x:c r="D71" s="3"/>
      <x:c r="E71" s="3"/>
      <x:c r="F71" s="30"/>
      <x:c r="G71" s="30"/>
    </x:row>
    <x:row r="72" ht="25" customHeight="1">
      <x:c r="C72" s="2"/>
      <x:c r="D72" s="3"/>
      <x:c r="E72" s="3"/>
      <x:c r="F72" s="30"/>
      <x:c r="G72" s="30"/>
    </x:row>
    <x:row r="73" ht="25" customHeight="1">
      <x:c r="C73" s="2"/>
      <x:c r="D73" s="3"/>
      <x:c r="E73" s="3"/>
      <x:c r="F73" s="30"/>
      <x:c r="G73" s="30"/>
    </x:row>
    <x:row r="74" ht="25" customHeight="1">
      <x:c r="C74" s="2"/>
      <x:c r="D74" s="3"/>
      <x:c r="E74" s="3"/>
      <x:c r="F74" s="30"/>
      <x:c r="G74" s="30"/>
    </x:row>
    <x:row r="75" ht="25" customHeight="1">
      <x:c r="C75" s="2"/>
      <x:c r="D75" s="3"/>
      <x:c r="E75" s="3"/>
      <x:c r="F75" s="30"/>
      <x:c r="G75" s="30"/>
    </x:row>
    <x:row r="76" ht="25" customHeight="1">
      <x:c r="C76" s="2"/>
      <x:c r="D76" s="3"/>
      <x:c r="E76" s="3"/>
      <x:c r="F76" s="30"/>
      <x:c r="G76" s="30"/>
    </x:row>
    <x:row r="77" ht="25" customHeight="1">
      <x:c r="C77" s="2"/>
      <x:c r="D77" s="3"/>
      <x:c r="E77" s="3"/>
      <x:c r="F77" s="30"/>
      <x:c r="G77" s="30"/>
    </x:row>
    <x:row r="78" ht="25" customHeight="1">
      <x:c r="C78" s="2"/>
      <x:c r="D78" s="3"/>
      <x:c r="E78" s="3"/>
      <x:c r="F78" s="30"/>
      <x:c r="G78" s="30"/>
    </x:row>
    <x:row r="79" ht="25" customHeight="1">
      <x:c r="C79" s="2"/>
      <x:c r="D79" s="3"/>
      <x:c r="E79" s="3"/>
      <x:c r="F79" s="30"/>
      <x:c r="G79" s="30"/>
    </x:row>
    <x:row r="80" ht="25" customHeight="1">
      <x:c r="C80" s="2"/>
      <x:c r="D80" s="3"/>
      <x:c r="E80" s="3"/>
      <x:c r="F80" s="30"/>
      <x:c r="G80" s="30"/>
    </x:row>
  </x:sheetData>
  <x:mergeCells>
    <x:mergeCell ref="D58:G58"/>
  </x:mergeCells>
  <x:conditionalFormatting sqref="D20:G20">
    <x:cfRule type="cellIs" dxfId="1" priority="1" operator="lessThan">
      <x:formula>0</x:formula>
    </x:cfRule>
  </x:conditionalFormatting>
  <x:conditionalFormatting sqref="F55:F57">
    <x:cfRule type="cellIs" dxfId="2" priority="2" operator="lessThan">
      <x:formula>0</x:formula>
    </x:cfRule>
  </x:conditionalFormatting>
  <x:dataValidations count="1">
    <x:dataValidation type="whole" operator="between" sqref="D4">
      <x:formula1>1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</x:cols>
  <x:sheetData>
    <x:row r="1" ht="25" customHeight="1">
      <x:c r="C1" s="2"/>
      <x:c r="D1" s="2"/>
      <x:c r="E1" s="2"/>
      <x:c r="F1" s="27"/>
      <x:c r="G1" s="27"/>
    </x:row>
    <x:row r="2" ht="36" customHeight="1">
      <x:c r="C2" s="4" t="str">
        <x:v>人员薪酬与外包预算</x:v>
      </x:c>
      <x:c r="D2" s="2"/>
      <x:c r="E2" s="2"/>
      <x:c r="F2" s="27"/>
      <x:c r="G2" s="27"/>
    </x:row>
    <x:row r="3" ht="25" customHeight="1">
      <x:c r="C3" s="5" t="str">
        <x:v>全职方案A。工资与比例是建议预算，非市场调查或已签用工条件。</x:v>
      </x:c>
      <x:c r="D3" s="2"/>
      <x:c r="E3" s="2"/>
      <x:c r="F3" s="27"/>
      <x:c r="G3" s="27"/>
    </x:row>
    <x:row r="4" ht="25" customHeight="1">
      <x:c r="C4" s="2"/>
      <x:c r="D4" s="2"/>
      <x:c r="E4" s="2"/>
      <x:c r="F4" s="27"/>
      <x:c r="G4" s="27"/>
    </x:row>
    <x:row r="5" ht="25" customHeight="1">
      <x:c r="C5" s="2" t="str">
        <x:v>月度人员及外包现金预算</x:v>
      </x:c>
      <x:c r="D5" s="25" t="n">
        <x:f>D34</x:f>
        <x:v>14438</x:v>
      </x:c>
      <x:c r="E5" s="26"/>
      <x:c r="F5" s="28"/>
      <x:c r="G5" s="28"/>
    </x:row>
    <x:row r="6" ht="25" customHeight="1">
      <x:c r="C6" s="2"/>
      <x:c r="D6" s="26"/>
      <x:c r="E6" s="26"/>
      <x:c r="F6" s="28"/>
      <x:c r="G6" s="28"/>
    </x:row>
    <x:row r="7" ht="25" customHeight="1">
      <x:c r="C7" s="8" t="str">
        <x:v>输入与计算</x:v>
      </x:c>
      <x:c r="D7" s="9"/>
      <x:c r="E7" s="9"/>
      <x:c r="F7" s="29"/>
      <x:c r="G7" s="29"/>
    </x:row>
    <x:row r="8" ht="25" customHeight="1">
      <x:c r="C8" s="2" t="str">
        <x:v>固定底薪预算</x:v>
      </x:c>
      <x:c r="D8" s="11" t="n">
        <x:v>6000</x:v>
      </x:c>
      <x:c r="E8" s="3"/>
      <x:c r="F8" s="30" t="str">
        <x:v>附加25%只是费用预留，不是法定费率</x:v>
      </x:c>
      <x:c r="G8" s="30"/>
    </x:row>
    <x:row r="9" ht="25" customHeight="1">
      <x:c r="C9" s="2" t="str">
        <x:v>绩效上限预算</x:v>
      </x:c>
      <x:c r="D9" s="11" t="n">
        <x:v>1000</x:v>
      </x:c>
      <x:c r="E9" s="3"/>
      <x:c r="F9" s="30"/>
      <x:c r="G9" s="30"/>
    </x:row>
    <x:row r="10" ht="25" customHeight="1">
      <x:c r="C10" s="2" t="str">
        <x:v>绩效完成比例</x:v>
      </x:c>
      <x:c r="D10" s="12" t="n">
        <x:v>0.8</x:v>
      </x:c>
      <x:c r="E10" s="3"/>
      <x:c r="F10" s="30"/>
      <x:c r="G10" s="30"/>
    </x:row>
    <x:row r="11" ht="25" customHeight="1">
      <x:c r="C11" s="2" t="str">
        <x:v>附加用工成本预留比例</x:v>
      </x:c>
      <x:c r="D11" s="12" t="n">
        <x:v>0.25</x:v>
      </x:c>
      <x:c r="E11" s="3"/>
      <x:c r="F11" s="30" t="str">
        <x:v>39,800/98,000合作档不自动计佣</x:v>
      </x:c>
      <x:c r="G11" s="30"/>
    </x:row>
    <x:row r="12" ht="25" customHeight="1">
      <x:c r="C12" s="2" t="str">
        <x:v>基础会员新签单数</x:v>
      </x:c>
      <x:c r="D12" s="20" t="n">
        <x:v>8</x:v>
      </x:c>
      <x:c r="E12" s="3"/>
      <x:c r="F12" s="30"/>
      <x:c r="G12" s="30"/>
    </x:row>
    <x:row r="13" ht="25" customHeight="1">
      <x:c r="C13" s="2" t="str">
        <x:v>理事新签单数</x:v>
      </x:c>
      <x:c r="D13" s="20" t="n">
        <x:v>2</x:v>
      </x:c>
      <x:c r="E13" s="3"/>
      <x:c r="F13" s="30"/>
      <x:c r="G13" s="30"/>
    </x:row>
    <x:row r="14" ht="25" customHeight="1">
      <x:c r="C14" s="2" t="str">
        <x:v>当月新签退款</x:v>
      </x:c>
      <x:c r="D14" s="11" t="n">
        <x:v>3000</x:v>
      </x:c>
      <x:c r="E14" s="3"/>
      <x:c r="F14" s="30" t="str">
        <x:v>按净到账计奖，归属比例另确认</x:v>
      </x:c>
      <x:c r="G14" s="30"/>
    </x:row>
    <x:row r="15" ht="25" customHeight="1">
      <x:c r="C15" s="2" t="str">
        <x:v>续费净到账</x:v>
      </x:c>
      <x:c r="D15" s="11" t="n">
        <x:v>19800</x:v>
      </x:c>
      <x:c r="E15" s="3"/>
      <x:c r="F15" s="30"/>
      <x:c r="G15" s="30"/>
    </x:row>
    <x:row r="16" ht="25" customHeight="1">
      <x:c r="C16" s="2" t="str">
        <x:v>新签计奖比例</x:v>
      </x:c>
      <x:c r="D16" s="12" t="n">
        <x:v>0.05</x:v>
      </x:c>
      <x:c r="E16" s="3"/>
      <x:c r="F16" s="30"/>
      <x:c r="G16" s="30"/>
    </x:row>
    <x:row r="17" ht="25" customHeight="1">
      <x:c r="C17" s="2" t="str">
        <x:v>续费计奖比例</x:v>
      </x:c>
      <x:c r="D17" s="12" t="n">
        <x:v>0.02</x:v>
      </x:c>
      <x:c r="E17" s="3"/>
      <x:c r="F17" s="30" t="str">
        <x:v>退款不可超过本情景新签总额</x:v>
      </x:c>
      <x:c r="G17" s="30"/>
    </x:row>
    <x:row r="18" ht="25" customHeight="1">
      <x:c r="C18" s="2" t="str">
        <x:v>图文篇数</x:v>
      </x:c>
      <x:c r="D18" s="20" t="n">
        <x:v>8</x:v>
      </x:c>
      <x:c r="E18" s="3"/>
      <x:c r="F18" s="30"/>
      <x:c r="G18" s="30"/>
    </x:row>
    <x:row r="19" ht="25" customHeight="1">
      <x:c r="C19" s="2" t="str">
        <x:v>每篇预算</x:v>
      </x:c>
      <x:c r="D19" s="11" t="n">
        <x:v>200</x:v>
      </x:c>
      <x:c r="E19" s="3"/>
      <x:c r="F19" s="30"/>
      <x:c r="G19" s="30"/>
    </x:row>
    <x:row r="20" ht="25" customHeight="1">
      <x:c r="C20" s="2" t="str">
        <x:v>摄影次数</x:v>
      </x:c>
      <x:c r="D20" s="20" t="n">
        <x:v>2</x:v>
      </x:c>
      <x:c r="E20" s="3"/>
      <x:c r="F20" s="30" t="str">
        <x:v>年度会员表已有计佣，不重复叠加</x:v>
      </x:c>
      <x:c r="G20" s="30"/>
    </x:row>
    <x:row r="21" ht="25" customHeight="1">
      <x:c r="C21" s="2" t="str">
        <x:v>每次摄影预算</x:v>
      </x:c>
      <x:c r="D21" s="11" t="n">
        <x:v>800</x:v>
      </x:c>
      <x:c r="E21" s="3"/>
      <x:c r="F21" s="30"/>
      <x:c r="G21" s="30"/>
    </x:row>
    <x:row r="22" ht="25" customHeight="1">
      <x:c r="C22" s="2" t="str">
        <x:v>员工成交归属比例</x:v>
      </x:c>
      <x:c r="D22" s="12" t="n">
        <x:v>1</x:v>
      </x:c>
      <x:c r="E22" s="3"/>
      <x:c r="F22" s="30"/>
      <x:c r="G22" s="30"/>
    </x:row>
    <x:row r="23" ht="25" customHeight="1">
      <x:c r="C23" s="2"/>
      <x:c r="D23" s="3"/>
      <x:c r="E23" s="3"/>
      <x:c r="F23" s="30" t="str">
        <x:v>与兼职3000/月方案分别选择</x:v>
      </x:c>
      <x:c r="G23" s="30"/>
    </x:row>
    <x:row r="24" ht="25" customHeight="1">
      <x:c r="C24" s="2" t="str">
        <x:v>校验 1有效 0待补</x:v>
      </x:c>
      <x:c r="D24" s="40" t="b">
        <x:f>AND(COUNT(D8:D22)=15,MIN(D8:D22)&gt;=0,D10&lt;=1,D11&lt;=1,D16&lt;=1,D17&lt;=1,D22&lt;=1,D14&lt;=D12*'会员交付'!D8+D13*'会员交付'!E8)</x:f>
        <x:v>1</x:v>
      </x:c>
      <x:c r="E24" s="3"/>
      <x:c r="F24" s="30"/>
      <x:c r="G24" s="30"/>
    </x:row>
    <x:row r="25" ht="25" customHeight="1">
      <x:c r="C25" s="2" t="str">
        <x:v>新签净到账</x:v>
      </x:c>
      <x:c r="D25" s="22" t="n">
        <x:f>IF(D24,D12*'会员交付'!D8+D13*'会员交付'!E8-D14,"需补有效输入")</x:f>
        <x:v>46840</x:v>
      </x:c>
      <x:c r="E25" s="3"/>
      <x:c r="F25" s="30"/>
      <x:c r="G25" s="30"/>
    </x:row>
    <x:row r="26" ht="25" customHeight="1">
      <x:c r="C26" s="2" t="str">
        <x:v>续费净到账</x:v>
      </x:c>
      <x:c r="D26" s="14" t="n">
        <x:f>IF(D24,D15,"需补有效输入")</x:f>
        <x:v>19800</x:v>
      </x:c>
      <x:c r="E26" s="3"/>
      <x:c r="F26" s="30"/>
      <x:c r="G26" s="30"/>
    </x:row>
    <x:row r="27" ht="25" customHeight="1">
      <x:c r="C27" s="2" t="str">
        <x:v>新签佣金</x:v>
      </x:c>
      <x:c r="D27" s="14" t="n">
        <x:f>IF(D24,D25*D16*D22,"需补有效输入")</x:f>
        <x:v>2342</x:v>
      </x:c>
      <x:c r="E27" s="3"/>
      <x:c r="F27" s="30"/>
      <x:c r="G27" s="30"/>
    </x:row>
    <x:row r="28" ht="25" customHeight="1">
      <x:c r="C28" s="2" t="str">
        <x:v>续费佣金</x:v>
      </x:c>
      <x:c r="D28" s="14" t="n">
        <x:f>IF(D24,D26*D17*D22,"需补有效输入")</x:f>
        <x:v>396</x:v>
      </x:c>
      <x:c r="E28" s="3"/>
      <x:c r="F28" s="30"/>
      <x:c r="G28" s="30"/>
    </x:row>
    <x:row r="29" ht="25" customHeight="1">
      <x:c r="C29" s="2" t="str">
        <x:v>绩效预算</x:v>
      </x:c>
      <x:c r="D29" s="14" t="n">
        <x:f>IF(D24,D9*D10,"需补有效输入")</x:f>
        <x:v>800</x:v>
      </x:c>
      <x:c r="E29" s="3"/>
      <x:c r="F29" s="30"/>
      <x:c r="G29" s="30"/>
    </x:row>
    <x:row r="30" ht="25" customHeight="1">
      <x:c r="C30" s="2" t="str">
        <x:v>底薪及绩效</x:v>
      </x:c>
      <x:c r="D30" s="14" t="n">
        <x:f>IF(D24,D8+D29,"需补有效输入")</x:f>
        <x:v>6800</x:v>
      </x:c>
      <x:c r="E30" s="3"/>
      <x:c r="F30" s="30"/>
      <x:c r="G30" s="30"/>
    </x:row>
    <x:row r="31" ht="25" customHeight="1">
      <x:c r="C31" s="2" t="str">
        <x:v>附加用工预算</x:v>
      </x:c>
      <x:c r="D31" s="14" t="n">
        <x:f>IF(D24,D30*D11,"需补有效输入")</x:f>
        <x:v>1700</x:v>
      </x:c>
      <x:c r="E31" s="3"/>
      <x:c r="F31" s="30"/>
      <x:c r="G31" s="30"/>
    </x:row>
    <x:row r="32" ht="25" customHeight="1">
      <x:c r="C32" s="2" t="str">
        <x:v>内容与摄影外包</x:v>
      </x:c>
      <x:c r="D32" s="14" t="n">
        <x:f>IF(D24,D18*D19+D20*D21,"需补有效输入")</x:f>
        <x:v>3200</x:v>
      </x:c>
      <x:c r="E32" s="3"/>
      <x:c r="F32" s="30"/>
      <x:c r="G32" s="30"/>
    </x:row>
    <x:row r="33" ht="25" customHeight="1">
      <x:c r="C33" s="2" t="str">
        <x:v>固定人员含附加预算</x:v>
      </x:c>
      <x:c r="D33" s="14" t="n">
        <x:f>IF(D24,D30+D31,"需补有效输入")</x:f>
        <x:v>8500</x:v>
      </x:c>
      <x:c r="E33" s="3"/>
      <x:c r="F33" s="30"/>
      <x:c r="G33" s="30"/>
    </x:row>
    <x:row r="34" ht="25" customHeight="1">
      <x:c r="C34" s="2" t="str">
        <x:v>人员及外包合计</x:v>
      </x:c>
      <x:c r="D34" s="14" t="n">
        <x:f>IF(D24,SUM(D27:D28)+D32+D33,"需补有效输入")</x:f>
        <x:v>14438</x:v>
      </x:c>
      <x:c r="E34" s="3"/>
      <x:c r="F34" s="30"/>
      <x:c r="G34" s="30"/>
    </x:row>
    <x:row r="35" ht="25" customHeight="1">
      <x:c r="C35" s="2"/>
      <x:c r="D35" s="3"/>
      <x:c r="E35" s="3"/>
      <x:c r="F35" s="30"/>
      <x:c r="G35" s="30"/>
    </x:row>
    <x:row r="36" ht="25" customHeight="1">
      <x:c r="C36" s="2" t="str">
        <x:v>无销售时月固定及外包预算</x:v>
      </x:c>
      <x:c r="D36" s="14" t="n">
        <x:f>IF(D24,D32+D33,"需补有效输入")</x:f>
        <x:v>11700</x:v>
      </x:c>
      <x:c r="E36" s="3"/>
      <x:c r="F36" s="30"/>
      <x:c r="G36" s="30"/>
    </x:row>
    <x:row r="37" ht="25" customHeight="1">
      <x:c r="C37" s="2"/>
      <x:c r="D37" s="3"/>
      <x:c r="E37" s="3"/>
      <x:c r="F37" s="30"/>
      <x:c r="G37" s="30"/>
    </x:row>
    <x:row r="38" ht="25" customHeight="1">
      <x:c r="C38" s="2"/>
      <x:c r="D38" s="3"/>
      <x:c r="E38" s="3"/>
      <x:c r="F38" s="30"/>
      <x:c r="G38" s="30"/>
    </x:row>
    <x:row r="39" ht="25" customHeight="1">
      <x:c r="C39" s="2"/>
      <x:c r="D39" s="3"/>
      <x:c r="E39" s="3"/>
      <x:c r="F39" s="30"/>
      <x:c r="G39" s="30"/>
    </x:row>
    <x:row r="40" ht="25" customHeight="1">
      <x:c r="C40" s="2"/>
      <x:c r="D40" s="3"/>
      <x:c r="E40" s="3"/>
      <x:c r="F40" s="30"/>
      <x:c r="G40" s="30"/>
    </x:row>
    <x:row r="41" ht="25" customHeight="1">
      <x:c r="C41" s="2"/>
      <x:c r="D41" s="3"/>
      <x:c r="E41" s="3"/>
      <x:c r="F41" s="30"/>
      <x:c r="G41" s="30"/>
    </x:row>
    <x:row r="42" ht="25" customHeight="1">
      <x:c r="C42" s="2"/>
      <x:c r="D42" s="3"/>
      <x:c r="E42" s="3"/>
      <x:c r="F42" s="30"/>
      <x:c r="G42" s="30"/>
    </x:row>
    <x:row r="43" ht="25" customHeight="1">
      <x:c r="C43" s="2"/>
      <x:c r="D43" s="3"/>
      <x:c r="E43" s="3"/>
      <x:c r="F43" s="30"/>
      <x:c r="G43" s="30"/>
    </x:row>
    <x:row r="44" ht="25" customHeight="1">
      <x:c r="C44" s="2"/>
      <x:c r="D44" s="3"/>
      <x:c r="E44" s="3"/>
      <x:c r="F44" s="30"/>
      <x:c r="G44" s="30"/>
    </x:row>
    <x:row r="45" ht="25" customHeight="1">
      <x:c r="C45" s="2"/>
      <x:c r="D45" s="3"/>
      <x:c r="E45" s="3"/>
      <x:c r="F45" s="30"/>
      <x:c r="G45" s="30"/>
    </x:row>
    <x:row r="46" ht="25" customHeight="1">
      <x:c r="C46" s="2"/>
      <x:c r="D46" s="3"/>
      <x:c r="E46" s="3"/>
      <x:c r="F46" s="30"/>
      <x:c r="G46" s="30"/>
    </x:row>
    <x:row r="47" ht="25" customHeight="1">
      <x:c r="C47" s="2"/>
      <x:c r="D47" s="3"/>
      <x:c r="E47" s="3"/>
      <x:c r="F47" s="30"/>
      <x:c r="G47" s="30"/>
    </x:row>
    <x:row r="48" ht="25" customHeight="1">
      <x:c r="C48" s="2"/>
      <x:c r="D48" s="3"/>
      <x:c r="E48" s="3"/>
      <x:c r="F48" s="30"/>
      <x:c r="G48" s="30"/>
    </x:row>
    <x:row r="49" ht="25" customHeight="1">
      <x:c r="C49" s="2"/>
      <x:c r="D49" s="3"/>
      <x:c r="E49" s="3"/>
      <x:c r="F49" s="30"/>
      <x:c r="G49" s="30"/>
    </x:row>
    <x:row r="50" ht="25" customHeight="1">
      <x:c r="C50" s="2"/>
      <x:c r="D50" s="3"/>
      <x:c r="E50" s="3"/>
      <x:c r="F50" s="30"/>
      <x:c r="G50" s="30"/>
    </x:row>
    <x:row r="51" ht="25" customHeight="1">
      <x:c r="C51" s="2"/>
      <x:c r="D51" s="3"/>
      <x:c r="E51" s="3"/>
      <x:c r="F51" s="30"/>
      <x:c r="G51" s="30"/>
    </x:row>
    <x:row r="52" ht="25" customHeight="1">
      <x:c r="C52" s="2"/>
      <x:c r="D52" s="3"/>
      <x:c r="E52" s="3"/>
      <x:c r="F52" s="30"/>
      <x:c r="G52" s="30"/>
    </x:row>
    <x:row r="53" ht="25" customHeight="1">
      <x:c r="C53" s="2"/>
      <x:c r="D53" s="3"/>
      <x:c r="E53" s="3"/>
      <x:c r="F53" s="30"/>
      <x:c r="G53" s="30"/>
    </x:row>
    <x:row r="54" ht="25" customHeight="1">
      <x:c r="C54" s="2"/>
      <x:c r="D54" s="3"/>
      <x:c r="E54" s="3"/>
      <x:c r="F54" s="30"/>
      <x:c r="G54" s="30"/>
    </x:row>
    <x:row r="55" ht="25" customHeight="1">
      <x:c r="C55" s="2"/>
      <x:c r="D55" s="3"/>
      <x:c r="E55" s="3"/>
      <x:c r="F55" s="30"/>
      <x:c r="G55" s="30"/>
    </x:row>
    <x:row r="56" ht="25" customHeight="1">
      <x:c r="C56" s="2"/>
      <x:c r="D56" s="3"/>
      <x:c r="E56" s="3"/>
      <x:c r="F56" s="30"/>
      <x:c r="G56" s="30"/>
    </x:row>
    <x:row r="57" ht="25" customHeight="1">
      <x:c r="C57" s="2"/>
      <x:c r="D57" s="3"/>
      <x:c r="E57" s="3"/>
      <x:c r="F57" s="30"/>
      <x:c r="G57" s="30"/>
    </x:row>
    <x:row r="58" ht="25" customHeight="1">
      <x:c r="C58" s="2"/>
      <x:c r="D58" s="3"/>
      <x:c r="E58" s="3"/>
      <x:c r="F58" s="30"/>
      <x:c r="G58" s="30"/>
    </x:row>
    <x:row r="59" ht="25" customHeight="1">
      <x:c r="C59" s="2"/>
      <x:c r="D59" s="3"/>
      <x:c r="E59" s="3"/>
      <x:c r="F59" s="30"/>
      <x:c r="G59" s="30"/>
    </x:row>
    <x:row r="60" ht="25" customHeight="1">
      <x:c r="C60" s="2"/>
      <x:c r="D60" s="3"/>
      <x:c r="E60" s="3"/>
      <x:c r="F60" s="30"/>
      <x:c r="G60" s="30"/>
    </x:row>
    <x:row r="61" ht="25" customHeight="1">
      <x:c r="C61" s="2"/>
      <x:c r="D61" s="3"/>
      <x:c r="E61" s="3"/>
      <x:c r="F61" s="30"/>
      <x:c r="G61" s="30"/>
    </x:row>
    <x:row r="62" ht="25" customHeight="1">
      <x:c r="C62" s="2"/>
      <x:c r="D62" s="3"/>
      <x:c r="E62" s="3"/>
      <x:c r="F62" s="30"/>
      <x:c r="G62" s="30"/>
    </x:row>
    <x:row r="63" ht="25" customHeight="1">
      <x:c r="C63" s="2"/>
      <x:c r="D63" s="3"/>
      <x:c r="E63" s="3"/>
      <x:c r="F63" s="30"/>
      <x:c r="G63" s="30"/>
    </x:row>
    <x:row r="64" ht="25" customHeight="1">
      <x:c r="C64" s="2"/>
      <x:c r="D64" s="3"/>
      <x:c r="E64" s="3"/>
      <x:c r="F64" s="30"/>
      <x:c r="G64" s="30"/>
    </x:row>
    <x:row r="65" ht="25" customHeight="1">
      <x:c r="C65" s="2"/>
      <x:c r="D65" s="3"/>
      <x:c r="E65" s="3"/>
      <x:c r="F65" s="30"/>
      <x:c r="G65" s="30"/>
    </x:row>
    <x:row r="66" ht="25" customHeight="1">
      <x:c r="C66" s="2"/>
      <x:c r="D66" s="3"/>
      <x:c r="E66" s="3"/>
      <x:c r="F66" s="30"/>
      <x:c r="G66" s="30"/>
    </x:row>
    <x:row r="67" ht="25" customHeight="1">
      <x:c r="C67" s="2"/>
      <x:c r="D67" s="3"/>
      <x:c r="E67" s="3"/>
      <x:c r="F67" s="30"/>
      <x:c r="G67" s="30"/>
    </x:row>
    <x:row r="68" ht="25" customHeight="1">
      <x:c r="C68" s="2"/>
      <x:c r="D68" s="3"/>
      <x:c r="E68" s="3"/>
      <x:c r="F68" s="30"/>
      <x:c r="G68" s="30"/>
    </x:row>
    <x:row r="69" ht="25" customHeight="1">
      <x:c r="C69" s="2"/>
      <x:c r="D69" s="3"/>
      <x:c r="E69" s="3"/>
      <x:c r="F69" s="30"/>
      <x:c r="G69" s="30"/>
    </x:row>
    <x:row r="70" ht="25" customHeight="1">
      <x:c r="C70" s="2"/>
      <x:c r="D70" s="3"/>
      <x:c r="E70" s="3"/>
      <x:c r="F70" s="30"/>
      <x:c r="G70" s="30"/>
    </x:row>
    <x:row r="71" ht="25" customHeight="1">
      <x:c r="C71" s="2"/>
      <x:c r="D71" s="3"/>
      <x:c r="E71" s="3"/>
      <x:c r="F71" s="30"/>
      <x:c r="G71" s="30"/>
    </x:row>
    <x:row r="72" ht="25" customHeight="1">
      <x:c r="C72" s="2"/>
      <x:c r="D72" s="3"/>
      <x:c r="E72" s="3"/>
      <x:c r="F72" s="30"/>
      <x:c r="G72" s="30"/>
    </x:row>
    <x:row r="73" ht="25" customHeight="1">
      <x:c r="C73" s="2"/>
      <x:c r="D73" s="3"/>
      <x:c r="E73" s="3"/>
      <x:c r="F73" s="30"/>
      <x:c r="G73" s="30"/>
    </x:row>
    <x:row r="74" ht="25" customHeight="1">
      <x:c r="C74" s="2"/>
      <x:c r="D74" s="3"/>
      <x:c r="E74" s="3"/>
      <x:c r="F74" s="30"/>
      <x:c r="G74" s="30"/>
    </x:row>
    <x:row r="75" ht="25" customHeight="1">
      <x:c r="C75" s="2"/>
      <x:c r="D75" s="3"/>
      <x:c r="E75" s="3"/>
      <x:c r="F75" s="30"/>
      <x:c r="G75" s="30"/>
    </x:row>
    <x:row r="76" ht="25" customHeight="1">
      <x:c r="C76" s="2"/>
      <x:c r="D76" s="3"/>
      <x:c r="E76" s="3"/>
      <x:c r="F76" s="30"/>
      <x:c r="G76" s="30"/>
    </x:row>
    <x:row r="77" ht="25" customHeight="1">
      <x:c r="C77" s="2"/>
      <x:c r="D77" s="3"/>
      <x:c r="E77" s="3"/>
      <x:c r="F77" s="30"/>
      <x:c r="G77" s="30"/>
    </x:row>
    <x:row r="78" ht="25" customHeight="1">
      <x:c r="C78" s="2"/>
      <x:c r="D78" s="3"/>
      <x:c r="E78" s="3"/>
      <x:c r="F78" s="30"/>
      <x:c r="G78" s="30"/>
    </x:row>
    <x:row r="79" ht="25" customHeight="1">
      <x:c r="C79" s="2"/>
      <x:c r="D79" s="3"/>
      <x:c r="E79" s="3"/>
      <x:c r="F79" s="30"/>
      <x:c r="G79" s="30"/>
    </x:row>
    <x:row r="80" ht="25" customHeight="1">
      <x:c r="C80" s="2"/>
      <x:c r="D80" s="3"/>
      <x:c r="E80" s="3"/>
      <x:c r="F80" s="30"/>
      <x:c r="G80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</x:cols>
  <x:sheetData>
    <x:row r="1" ht="25" customHeight="1">
      <x:c r="C1" s="2"/>
      <x:c r="D1" s="2"/>
      <x:c r="E1" s="2"/>
      <x:c r="F1" s="27"/>
      <x:c r="G1" s="27"/>
    </x:row>
    <x:row r="2" ht="36" customHeight="1">
      <x:c r="C2" s="4" t="str">
        <x:v>三个月启动现金预算</x:v>
      </x:c>
      <x:c r="D2" s="2"/>
      <x:c r="E2" s="2"/>
      <x:c r="F2" s="27"/>
      <x:c r="G2" s="27"/>
    </x:row>
    <x:row r="3" ht="25" customHeight="1">
      <x:c r="C3" s="5" t="str">
        <x:v>先按无会员收入测底线，不以未来收款替代履约资金。人民币预算。</x:v>
      </x:c>
      <x:c r="D3" s="2"/>
      <x:c r="E3" s="2"/>
      <x:c r="F3" s="27"/>
      <x:c r="G3" s="27"/>
    </x:row>
    <x:row r="4" ht="25" customHeight="1">
      <x:c r="C4" s="2"/>
      <x:c r="D4" s="2"/>
      <x:c r="E4" s="2"/>
      <x:c r="F4" s="27"/>
      <x:c r="G4" s="27"/>
    </x:row>
    <x:row r="5" ht="25" customHeight="1">
      <x:c r="C5" s="2" t="str">
        <x:v>未扣现有资金的启动准备额</x:v>
      </x:c>
      <x:c r="D5" s="25" t="n">
        <x:f>D24</x:f>
        <x:v>64988.3</x:v>
      </x:c>
      <x:c r="E5" s="26"/>
      <x:c r="F5" s="28"/>
      <x:c r="G5" s="28"/>
    </x:row>
    <x:row r="6" ht="25" customHeight="1">
      <x:c r="C6" s="2" t="str">
        <x:v>尚需资金</x:v>
      </x:c>
      <x:c r="D6" s="25" t="n">
        <x:f>D25</x:f>
        <x:v>64988.3</x:v>
      </x:c>
      <x:c r="E6" s="26"/>
      <x:c r="F6" s="28"/>
      <x:c r="G6" s="28"/>
    </x:row>
    <x:row r="7" ht="25" customHeight="1">
      <x:c r="C7" s="8" t="str">
        <x:v>输入与计算</x:v>
      </x:c>
      <x:c r="D7" s="9"/>
      <x:c r="E7" s="9"/>
      <x:c r="F7" s="29"/>
      <x:c r="G7" s="29"/>
    </x:row>
    <x:row r="8" ht="25" customHeight="1">
      <x:c r="C8" s="2" t="str">
        <x:v>律师工作预算</x:v>
      </x:c>
      <x:c r="D8" s="11" t="n">
        <x:v>8000</x:v>
      </x:c>
      <x:c r="E8" s="3"/>
      <x:c r="F8" s="30" t="str">
        <x:v>律师8000为预留，不是已取得报价</x:v>
      </x:c>
      <x:c r="G8" s="30"/>
    </x:row>
    <x:row r="9" ht="25" customHeight="1">
      <x:c r="C9" s="2" t="str">
        <x:v>品牌及材料制作预算</x:v>
      </x:c>
      <x:c r="D9" s="11" t="n">
        <x:v>3000</x:v>
      </x:c>
      <x:c r="E9" s="3"/>
      <x:c r="F9" s="30"/>
      <x:c r="G9" s="30"/>
    </x:row>
    <x:row r="10" ht="25" customHeight="1">
      <x:c r="C10" s="2" t="str">
        <x:v>基础物料与工具预算</x:v>
      </x:c>
      <x:c r="D10" s="11" t="n">
        <x:v>2000</x:v>
      </x:c>
      <x:c r="E10" s="3"/>
      <x:c r="F10" s="30"/>
      <x:c r="G10" s="30"/>
    </x:row>
    <x:row r="11" ht="25" customHeight="1">
      <x:c r="C11" s="2" t="str">
        <x:v>账户与财税准备预算</x:v>
      </x:c>
      <x:c r="D11" s="11" t="n">
        <x:v>1500</x:v>
      </x:c>
      <x:c r="E11" s="3"/>
      <x:c r="F11" s="30" t="str">
        <x:v>账户财税1500为预算占位</x:v>
      </x:c>
      <x:c r="G11" s="30"/>
    </x:row>
    <x:row r="12" ht="25" customHeight="1">
      <x:c r="C12" s="2" t="str">
        <x:v>机动预算比例</x:v>
      </x:c>
      <x:c r="D12" s="12" t="n">
        <x:v>0.15</x:v>
      </x:c>
      <x:c r="E12" s="3"/>
      <x:c r="F12" s="30"/>
      <x:c r="G12" s="30"/>
    </x:row>
    <x:row r="13" ht="25" customHeight="1">
      <x:c r="C13" s="2" t="str">
        <x:v>固定成本预留月数</x:v>
      </x:c>
      <x:c r="D13" s="20" t="n">
        <x:v>3</x:v>
      </x:c>
      <x:c r="E13" s="3"/>
      <x:c r="F13" s="30"/>
      <x:c r="G13" s="30"/>
    </x:row>
    <x:row r="14" ht="25" customHeight="1">
      <x:c r="C14" s="2" t="str">
        <x:v>每月固定人员及外包</x:v>
      </x:c>
      <x:c r="D14" s="22" t="n">
        <x:f>'人员薪酬'!D36</x:f>
        <x:v>11700</x:v>
      </x:c>
      <x:c r="E14" s="3"/>
      <x:c r="F14" s="30" t="str">
        <x:v>全职A方案含绩效0.8预留</x:v>
      </x:c>
      <x:c r="G14" s="30"/>
    </x:row>
    <x:row r="15" ht="25" customHeight="1">
      <x:c r="C15" s="2" t="str">
        <x:v>首场供应预付比例</x:v>
      </x:c>
      <x:c r="D15" s="12" t="n">
        <x:v>0.7</x:v>
      </x:c>
      <x:c r="E15" s="3"/>
      <x:c r="F15" s="30"/>
      <x:c r="G15" s="30"/>
    </x:row>
    <x:row r="16" ht="25" customHeight="1">
      <x:c r="C16" s="2" t="str">
        <x:v>首场额外退款现金预留</x:v>
      </x:c>
      <x:c r="D16" s="11" t="n">
        <x:v>1000</x:v>
      </x:c>
      <x:c r="E16" s="3"/>
      <x:c r="F16" s="30"/>
      <x:c r="G16" s="30"/>
    </x:row>
    <x:row r="17" ht="25" customHeight="1">
      <x:c r="C17" s="2" t="str">
        <x:v>已可动用启动资金</x:v>
      </x:c>
      <x:c r="D17" s="11" t="n">
        <x:v>0</x:v>
      </x:c>
      <x:c r="E17" s="3"/>
      <x:c r="F17" s="30" t="str">
        <x:v>不含未确认办公室与额外旅行团</x:v>
      </x:c>
      <x:c r="G17" s="30"/>
    </x:row>
    <x:row r="18" ht="25" customHeight="1">
      <x:c r="C18" s="2"/>
      <x:c r="D18" s="3"/>
      <x:c r="E18" s="3"/>
      <x:c r="F18" s="30"/>
      <x:c r="G18" s="30"/>
    </x:row>
    <x:row r="19" ht="25" customHeight="1">
      <x:c r="C19" s="2" t="str">
        <x:v>校验 1有效 0待补</x:v>
      </x:c>
      <x:c r="D19" s="40" t="b">
        <x:f>AND(COUNT(D8:D17)=10,MIN(D8:D17)&gt;=0,D12&lt;=1,D15&lt;=1,ISNUMBER('单场活动'!D33))</x:f>
        <x:v>1</x:v>
      </x:c>
      <x:c r="E19" s="3"/>
      <x:c r="F19" s="30"/>
      <x:c r="G19" s="30"/>
    </x:row>
    <x:row r="20" ht="25" customHeight="1">
      <x:c r="C20" s="2" t="str">
        <x:v>一次准备预算</x:v>
      </x:c>
      <x:c r="D20" s="14" t="n">
        <x:f>IF(D19,SUM(D8:D11),"需补有效输入")</x:f>
        <x:v>14500</x:v>
      </x:c>
      <x:c r="E20" s="3"/>
      <x:c r="F20" s="30" t="str">
        <x:v>工资现金与会员工时成本不重复加总</x:v>
      </x:c>
      <x:c r="G20" s="30"/>
    </x:row>
    <x:row r="21" ht="25" customHeight="1">
      <x:c r="C21" s="2" t="str">
        <x:v>三个月人员外包预算</x:v>
      </x:c>
      <x:c r="D21" s="14" t="n">
        <x:f>IF(D19,D13*D14,"需补有效输入")</x:f>
        <x:v>35100</x:v>
      </x:c>
      <x:c r="E21" s="3"/>
      <x:c r="F21" s="30"/>
      <x:c r="G21" s="30"/>
    </x:row>
    <x:row r="22" ht="25" customHeight="1">
      <x:c r="C22" s="2" t="str">
        <x:v>首场锁定与获客现金</x:v>
      </x:c>
      <x:c r="D22" s="22" t="n">
        <x:f>IF(D19,('单场活动'!D32+'单场活动'!D33)*D15+'单场活动'!D34,"需补有效输入")</x:f>
        <x:v>6042</x:v>
      </x:c>
      <x:c r="E22" s="3"/>
      <x:c r="F22" s="30"/>
      <x:c r="G22" s="30"/>
    </x:row>
    <x:row r="23" ht="25" customHeight="1">
      <x:c r="C23" s="2" t="str">
        <x:v>机动预算</x:v>
      </x:c>
      <x:c r="D23" s="14" t="n">
        <x:f>IF(D19,SUM(D20:D22)*D12,"需补有效输入")</x:f>
        <x:v>8346.3</x:v>
      </x:c>
      <x:c r="E23" s="3"/>
      <x:c r="F23" s="30"/>
      <x:c r="G23" s="30"/>
    </x:row>
    <x:row r="24" ht="25" customHeight="1">
      <x:c r="C24" s="2" t="str">
        <x:v>启动准备额</x:v>
      </x:c>
      <x:c r="D24" s="14" t="n">
        <x:f>IF(D19,SUM(D20:D23)+D16,"需补有效输入")</x:f>
        <x:v>64988.3</x:v>
      </x:c>
      <x:c r="E24" s="3"/>
      <x:c r="F24" s="30"/>
      <x:c r="G24" s="30"/>
    </x:row>
    <x:row r="25" ht="25" customHeight="1">
      <x:c r="C25" s="2" t="str">
        <x:v>尚需准备资金</x:v>
      </x:c>
      <x:c r="D25" s="14" t="n">
        <x:f>IF(D19,MAX(D24-D17,0),"需补有效输入")</x:f>
        <x:v>64988.3</x:v>
      </x:c>
      <x:c r="E25" s="3"/>
      <x:c r="F25" s="30"/>
      <x:c r="G25" s="30"/>
    </x:row>
    <x:row r="26" ht="25" customHeight="1">
      <x:c r="C26" s="2"/>
      <x:c r="D26" s="3"/>
      <x:c r="E26" s="3"/>
      <x:c r="F26" s="30"/>
      <x:c r="G26" s="30"/>
    </x:row>
    <x:row r="27" ht="25" customHeight="1">
      <x:c r="C27" s="2"/>
      <x:c r="D27" s="3"/>
      <x:c r="E27" s="3"/>
      <x:c r="F27" s="30"/>
      <x:c r="G27" s="30"/>
    </x:row>
    <x:row r="28" ht="25" customHeight="1">
      <x:c r="C28" s="2"/>
      <x:c r="D28" s="3"/>
      <x:c r="E28" s="3"/>
      <x:c r="F28" s="30"/>
      <x:c r="G28" s="30"/>
    </x:row>
    <x:row r="29" ht="25" customHeight="1">
      <x:c r="C29" s="2"/>
      <x:c r="D29" s="3"/>
      <x:c r="E29" s="3"/>
      <x:c r="F29" s="30"/>
      <x:c r="G29" s="30"/>
    </x:row>
    <x:row r="30" ht="25" customHeight="1">
      <x:c r="C30" s="2"/>
      <x:c r="D30" s="3"/>
      <x:c r="E30" s="3"/>
      <x:c r="F30" s="30"/>
      <x:c r="G30" s="30"/>
    </x:row>
    <x:row r="31" ht="25" customHeight="1">
      <x:c r="C31" s="2"/>
      <x:c r="D31" s="3"/>
      <x:c r="E31" s="3"/>
      <x:c r="F31" s="30"/>
      <x:c r="G31" s="30"/>
    </x:row>
    <x:row r="32" ht="25" customHeight="1">
      <x:c r="C32" s="2"/>
      <x:c r="D32" s="3"/>
      <x:c r="E32" s="3"/>
      <x:c r="F32" s="30"/>
      <x:c r="G32" s="30"/>
    </x:row>
    <x:row r="33" ht="25" customHeight="1">
      <x:c r="C33" s="2"/>
      <x:c r="D33" s="3"/>
      <x:c r="E33" s="3"/>
      <x:c r="F33" s="30"/>
      <x:c r="G33" s="30"/>
    </x:row>
    <x:row r="34" ht="25" customHeight="1">
      <x:c r="C34" s="2"/>
      <x:c r="D34" s="3"/>
      <x:c r="E34" s="3"/>
      <x:c r="F34" s="30"/>
      <x:c r="G34" s="30"/>
    </x:row>
    <x:row r="35" ht="25" customHeight="1">
      <x:c r="C35" s="2"/>
      <x:c r="D35" s="3"/>
      <x:c r="E35" s="3"/>
      <x:c r="F35" s="30"/>
      <x:c r="G35" s="30"/>
    </x:row>
    <x:row r="36" ht="25" customHeight="1">
      <x:c r="C36" s="2"/>
      <x:c r="D36" s="3"/>
      <x:c r="E36" s="3"/>
      <x:c r="F36" s="30"/>
      <x:c r="G36" s="30"/>
    </x:row>
    <x:row r="37" ht="25" customHeight="1">
      <x:c r="C37" s="2"/>
      <x:c r="D37" s="3"/>
      <x:c r="E37" s="3"/>
      <x:c r="F37" s="30"/>
      <x:c r="G37" s="30"/>
    </x:row>
    <x:row r="38" ht="25" customHeight="1">
      <x:c r="C38" s="2"/>
      <x:c r="D38" s="3"/>
      <x:c r="E38" s="3"/>
      <x:c r="F38" s="30"/>
      <x:c r="G38" s="30"/>
    </x:row>
    <x:row r="39" ht="25" customHeight="1">
      <x:c r="C39" s="2"/>
      <x:c r="D39" s="3"/>
      <x:c r="E39" s="3"/>
      <x:c r="F39" s="30"/>
      <x:c r="G39" s="30"/>
    </x:row>
    <x:row r="40" ht="25" customHeight="1">
      <x:c r="C40" s="2"/>
      <x:c r="D40" s="3"/>
      <x:c r="E40" s="3"/>
      <x:c r="F40" s="30"/>
      <x:c r="G40" s="30"/>
    </x:row>
    <x:row r="41" ht="25" customHeight="1">
      <x:c r="C41" s="2"/>
      <x:c r="D41" s="3"/>
      <x:c r="E41" s="3"/>
      <x:c r="F41" s="30"/>
      <x:c r="G41" s="30"/>
    </x:row>
    <x:row r="42" ht="25" customHeight="1">
      <x:c r="C42" s="2"/>
      <x:c r="D42" s="3"/>
      <x:c r="E42" s="3"/>
      <x:c r="F42" s="30"/>
      <x:c r="G42" s="30"/>
    </x:row>
    <x:row r="43" ht="25" customHeight="1">
      <x:c r="C43" s="2"/>
      <x:c r="D43" s="3"/>
      <x:c r="E43" s="3"/>
      <x:c r="F43" s="30"/>
      <x:c r="G43" s="30"/>
    </x:row>
    <x:row r="44" ht="25" customHeight="1">
      <x:c r="C44" s="2"/>
      <x:c r="D44" s="3"/>
      <x:c r="E44" s="3"/>
      <x:c r="F44" s="30"/>
      <x:c r="G44" s="30"/>
    </x:row>
    <x:row r="45" ht="25" customHeight="1">
      <x:c r="C45" s="2"/>
      <x:c r="D45" s="3"/>
      <x:c r="E45" s="3"/>
      <x:c r="F45" s="30"/>
      <x:c r="G45" s="30"/>
    </x:row>
    <x:row r="46" ht="25" customHeight="1">
      <x:c r="C46" s="2"/>
      <x:c r="D46" s="3"/>
      <x:c r="E46" s="3"/>
      <x:c r="F46" s="30"/>
      <x:c r="G46" s="30"/>
    </x:row>
    <x:row r="47" ht="25" customHeight="1">
      <x:c r="C47" s="2"/>
      <x:c r="D47" s="3"/>
      <x:c r="E47" s="3"/>
      <x:c r="F47" s="30"/>
      <x:c r="G47" s="30"/>
    </x:row>
    <x:row r="48" ht="25" customHeight="1">
      <x:c r="C48" s="2"/>
      <x:c r="D48" s="3"/>
      <x:c r="E48" s="3"/>
      <x:c r="F48" s="30"/>
      <x:c r="G48" s="30"/>
    </x:row>
    <x:row r="49" ht="25" customHeight="1">
      <x:c r="C49" s="2"/>
      <x:c r="D49" s="3"/>
      <x:c r="E49" s="3"/>
      <x:c r="F49" s="30"/>
      <x:c r="G49" s="30"/>
    </x:row>
    <x:row r="50" ht="25" customHeight="1">
      <x:c r="C50" s="2"/>
      <x:c r="D50" s="3"/>
      <x:c r="E50" s="3"/>
      <x:c r="F50" s="30"/>
      <x:c r="G50" s="30"/>
    </x:row>
    <x:row r="51" ht="25" customHeight="1">
      <x:c r="C51" s="2"/>
      <x:c r="D51" s="3"/>
      <x:c r="E51" s="3"/>
      <x:c r="F51" s="30"/>
      <x:c r="G51" s="30"/>
    </x:row>
    <x:row r="52" ht="25" customHeight="1">
      <x:c r="C52" s="2"/>
      <x:c r="D52" s="3"/>
      <x:c r="E52" s="3"/>
      <x:c r="F52" s="30"/>
      <x:c r="G52" s="30"/>
    </x:row>
    <x:row r="53" ht="25" customHeight="1">
      <x:c r="C53" s="2"/>
      <x:c r="D53" s="3"/>
      <x:c r="E53" s="3"/>
      <x:c r="F53" s="30"/>
      <x:c r="G53" s="30"/>
    </x:row>
    <x:row r="54" ht="25" customHeight="1">
      <x:c r="C54" s="2"/>
      <x:c r="D54" s="3"/>
      <x:c r="E54" s="3"/>
      <x:c r="F54" s="30"/>
      <x:c r="G54" s="30"/>
    </x:row>
    <x:row r="55" ht="25" customHeight="1">
      <x:c r="C55" s="2"/>
      <x:c r="D55" s="3"/>
      <x:c r="E55" s="3"/>
      <x:c r="F55" s="30"/>
      <x:c r="G55" s="30"/>
    </x:row>
    <x:row r="56" ht="25" customHeight="1">
      <x:c r="C56" s="2"/>
      <x:c r="D56" s="3"/>
      <x:c r="E56" s="3"/>
      <x:c r="F56" s="30"/>
      <x:c r="G56" s="30"/>
    </x:row>
    <x:row r="57" ht="25" customHeight="1">
      <x:c r="C57" s="2"/>
      <x:c r="D57" s="3"/>
      <x:c r="E57" s="3"/>
      <x:c r="F57" s="30"/>
      <x:c r="G57" s="30"/>
    </x:row>
    <x:row r="58" ht="25" customHeight="1">
      <x:c r="C58" s="2"/>
      <x:c r="D58" s="3"/>
      <x:c r="E58" s="3"/>
      <x:c r="F58" s="30"/>
      <x:c r="G58" s="30"/>
    </x:row>
    <x:row r="59" ht="25" customHeight="1">
      <x:c r="C59" s="2"/>
      <x:c r="D59" s="3"/>
      <x:c r="E59" s="3"/>
      <x:c r="F59" s="30"/>
      <x:c r="G59" s="30"/>
    </x:row>
    <x:row r="60" ht="25" customHeight="1">
      <x:c r="C60" s="2"/>
      <x:c r="D60" s="3"/>
      <x:c r="E60" s="3"/>
      <x:c r="F60" s="30"/>
      <x:c r="G60" s="30"/>
    </x:row>
    <x:row r="61" ht="25" customHeight="1">
      <x:c r="C61" s="2"/>
      <x:c r="D61" s="3"/>
      <x:c r="E61" s="3"/>
      <x:c r="F61" s="30"/>
      <x:c r="G61" s="30"/>
    </x:row>
    <x:row r="62" ht="25" customHeight="1">
      <x:c r="C62" s="2"/>
      <x:c r="D62" s="3"/>
      <x:c r="E62" s="3"/>
      <x:c r="F62" s="30"/>
      <x:c r="G62" s="30"/>
    </x:row>
    <x:row r="63" ht="25" customHeight="1">
      <x:c r="C63" s="2"/>
      <x:c r="D63" s="3"/>
      <x:c r="E63" s="3"/>
      <x:c r="F63" s="30"/>
      <x:c r="G63" s="30"/>
    </x:row>
    <x:row r="64" ht="25" customHeight="1">
      <x:c r="C64" s="2"/>
      <x:c r="D64" s="3"/>
      <x:c r="E64" s="3"/>
      <x:c r="F64" s="30"/>
      <x:c r="G64" s="30"/>
    </x:row>
    <x:row r="65" ht="25" customHeight="1">
      <x:c r="C65" s="2"/>
      <x:c r="D65" s="3"/>
      <x:c r="E65" s="3"/>
      <x:c r="F65" s="30"/>
      <x:c r="G65" s="30"/>
    </x:row>
    <x:row r="66" ht="25" customHeight="1">
      <x:c r="C66" s="2"/>
      <x:c r="D66" s="3"/>
      <x:c r="E66" s="3"/>
      <x:c r="F66" s="30"/>
      <x:c r="G66" s="30"/>
    </x:row>
    <x:row r="67" ht="25" customHeight="1">
      <x:c r="C67" s="2"/>
      <x:c r="D67" s="3"/>
      <x:c r="E67" s="3"/>
      <x:c r="F67" s="30"/>
      <x:c r="G67" s="30"/>
    </x:row>
    <x:row r="68" ht="25" customHeight="1">
      <x:c r="C68" s="2"/>
      <x:c r="D68" s="3"/>
      <x:c r="E68" s="3"/>
      <x:c r="F68" s="30"/>
      <x:c r="G68" s="30"/>
    </x:row>
    <x:row r="69" ht="25" customHeight="1">
      <x:c r="C69" s="2"/>
      <x:c r="D69" s="3"/>
      <x:c r="E69" s="3"/>
      <x:c r="F69" s="30"/>
      <x:c r="G69" s="30"/>
    </x:row>
    <x:row r="70" ht="25" customHeight="1">
      <x:c r="C70" s="2"/>
      <x:c r="D70" s="3"/>
      <x:c r="E70" s="3"/>
      <x:c r="F70" s="30"/>
      <x:c r="G70" s="30"/>
    </x:row>
    <x:row r="71" ht="25" customHeight="1">
      <x:c r="C71" s="2"/>
      <x:c r="D71" s="3"/>
      <x:c r="E71" s="3"/>
      <x:c r="F71" s="30"/>
      <x:c r="G71" s="30"/>
    </x:row>
    <x:row r="72" ht="25" customHeight="1">
      <x:c r="C72" s="2"/>
      <x:c r="D72" s="3"/>
      <x:c r="E72" s="3"/>
      <x:c r="F72" s="30"/>
      <x:c r="G72" s="30"/>
    </x:row>
    <x:row r="73" ht="25" customHeight="1">
      <x:c r="C73" s="2"/>
      <x:c r="D73" s="3"/>
      <x:c r="E73" s="3"/>
      <x:c r="F73" s="30"/>
      <x:c r="G73" s="30"/>
    </x:row>
    <x:row r="74" ht="25" customHeight="1">
      <x:c r="C74" s="2"/>
      <x:c r="D74" s="3"/>
      <x:c r="E74" s="3"/>
      <x:c r="F74" s="30"/>
      <x:c r="G74" s="30"/>
    </x:row>
    <x:row r="75" ht="25" customHeight="1">
      <x:c r="C75" s="2"/>
      <x:c r="D75" s="3"/>
      <x:c r="E75" s="3"/>
      <x:c r="F75" s="30"/>
      <x:c r="G75" s="30"/>
    </x:row>
    <x:row r="76" ht="25" customHeight="1">
      <x:c r="C76" s="2"/>
      <x:c r="D76" s="3"/>
      <x:c r="E76" s="3"/>
      <x:c r="F76" s="30"/>
      <x:c r="G76" s="30"/>
    </x:row>
    <x:row r="77" ht="25" customHeight="1">
      <x:c r="C77" s="2"/>
      <x:c r="D77" s="3"/>
      <x:c r="E77" s="3"/>
      <x:c r="F77" s="30"/>
      <x:c r="G77" s="30"/>
    </x:row>
    <x:row r="78" ht="25" customHeight="1">
      <x:c r="C78" s="2"/>
      <x:c r="D78" s="3"/>
      <x:c r="E78" s="3"/>
      <x:c r="F78" s="30"/>
      <x:c r="G78" s="30"/>
    </x:row>
    <x:row r="79" ht="25" customHeight="1">
      <x:c r="C79" s="2"/>
      <x:c r="D79" s="3"/>
      <x:c r="E79" s="3"/>
      <x:c r="F79" s="30"/>
      <x:c r="G79" s="30"/>
    </x:row>
    <x:row r="80" ht="25" customHeight="1">
      <x:c r="C80" s="2"/>
      <x:c r="D80" s="3"/>
      <x:c r="E80" s="3"/>
      <x:c r="F80" s="30"/>
      <x:c r="G80" s="30"/>
    </x:row>
  </x:sheetData>
  <x:pageMargins left="0.7" right="0.7" top="0.75" bottom="0.75" header="0.3" footer="0.3"/>
</x:worksheet>
</file>