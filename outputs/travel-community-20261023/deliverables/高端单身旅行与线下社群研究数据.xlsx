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c154f8889f40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对标主表" sheetId="1" r:id="Rc1e109625f1f45a7"/>
    <x:sheet xmlns:r="http://schemas.openxmlformats.org/officeDocument/2006/relationships" name="同线路费用" sheetId="2" r:id="R376ddf744d1b46aa"/>
    <x:sheet xmlns:r="http://schemas.openxmlformats.org/officeDocument/2006/relationships" name="首发产品与测算" sheetId="3" r:id="R801cbd75657746c4"/>
    <x:sheet xmlns:r="http://schemas.openxmlformats.org/officeDocument/2006/relationships" name="来源与待补" sheetId="4" r:id="R26fa6cafc03d4cf1"/>
    <x:sheet xmlns:r="http://schemas.openxmlformats.org/officeDocument/2006/relationships" name="既有机构名录" sheetId="5" r:id="R685dd1092b4946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;(#,##0);&quot;—&quot;"/>
    <x:numFmt numFmtId="201" formatCode="0.0%"/>
    <x:numFmt numFmtId="202" formatCode=";;;"/>
    <x:numFmt numFmtId="203" formatCode="0%"/>
  </x:numFmts>
  <x:fonts count="8">
    <x:font>
      <x:sz val="11"/>
      <x:name val="Carlito"/>
    </x:font>
    <x:font>
      <x:sz val="11"/>
      <x:color rgb="FF243442"/>
      <x:name val="Arial"/>
    </x:font>
    <x:font>
      <x:b/>
      <x:sz val="16"/>
      <x:color rgb="FF243442"/>
      <x:name val="Arial"/>
    </x:font>
    <x:font>
      <x:b/>
      <x:sz val="11"/>
      <x:color rgb="FFFFFFFF"/>
      <x:name val="Arial"/>
    </x:font>
    <x:font>
      <x:sz val="11"/>
      <x:color rgb="FF0000FF"/>
      <x:name val="Arial"/>
    </x:font>
    <x:font>
      <x:b/>
      <x:sz val="11"/>
      <x:color rgb="FFFFFFFF"/>
      <x:name val="Carlito"/>
    </x:font>
    <x:font>
      <x:sz val="11"/>
      <x:color rgb="FF008000"/>
      <x:name val="Arial"/>
    </x:font>
    <x:font>
      <x:b/>
      <x:sz val="11"/>
      <x:color rgb="FF243442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442"/>
      </x:patternFill>
    </x:fill>
    <x:fill>
      <x:patternFill patternType="solid">
        <x:fgColor rgb="FFF4F6F8"/>
      </x:patternFill>
    </x:fill>
    <x:fill>
      <x:patternFill patternType="solid">
        <x:fgColor rgb="FFFFF2CC"/>
      </x:patternFill>
    </x:fill>
    <x:fill>
      <x:patternFill patternType="solid">
        <x:fgColor rgb="FFE8ED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4" fillId="3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075f70b6bb4ded" /><Relationship Type="http://schemas.openxmlformats.org/officeDocument/2006/relationships/theme" Target="/xl/theme/theme1.xml" Id="R2b48057425094022" /><Relationship Type="http://schemas.openxmlformats.org/officeDocument/2006/relationships/sharedStrings" Target="/xl/sharedStrings.xml" Id="Reacb054be3c344f2" /><Relationship Type="http://schemas.openxmlformats.org/officeDocument/2006/relationships/worksheet" Target="/xl/worksheets/sheet1.xml" Id="Rc1e109625f1f45a7" /><Relationship Type="http://schemas.openxmlformats.org/officeDocument/2006/relationships/worksheet" Target="/xl/worksheets/sheet2.xml" Id="R376ddf744d1b46aa" /><Relationship Type="http://schemas.openxmlformats.org/officeDocument/2006/relationships/worksheet" Target="/xl/worksheets/sheet3.xml" Id="R801cbd75657746c4" /><Relationship Type="http://schemas.openxmlformats.org/officeDocument/2006/relationships/worksheet" Target="/xl/worksheets/sheet4.xml" Id="R26fa6cafc03d4cf1" /><Relationship Type="http://schemas.openxmlformats.org/officeDocument/2006/relationships/worksheet" Target="/xl/worksheets/sheet5.xml" Id="R685dd1092b4946c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f002e8ccac496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rial"/>
                <a:ea typeface="Arial"/>
                <a:cs typeface="Arial"/>
              </a:rPr>
              <a:t>旅行人数与单团贡献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单团贡献 元</c:v>
          </c:tx>
          <c:spPr>
            <a:solidFill xmlns:a="http://schemas.openxmlformats.org/drawingml/2006/main">
              <a:srgbClr val="26475A"/>
            </a:solidFill>
          </c:spPr>
          <c:invertIfNegative val="0"/>
          <c:cat>
            <c:strRef>
              <c:f>'首发产品与测算'!$F$45:$F$47</c:f>
              <c:strCache>
                <c:ptCount val="0"/>
              </c:strCache>
            </c:strRef>
          </c:cat>
          <c:val>
            <c:numRef>
              <c:f>'首发产品与测算'!$G$45:$G$47</c:f>
              <c:numCache>
                <c:formatCode>#,##0;(#,##0);"—"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48</xdr:row>
      <xdr:rowOff>0</xdr:rowOff>
    </xdr:from>
    <xdr:to>
      <xdr:col>13</xdr:col>
      <xdr:colOff>0</xdr:colOff>
      <xdr:row>63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f002e8ccac496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earchProducts1" displayName="ResearchProducts1" ref="A5:I27" headerRowCount="1" totalsRowCount="0" totalsRowShown="0">
  <x:tableColumns count="9">
    <x:tableColumn id="1" name="机构及组织方式"/>
    <x:tableColumn id="2" name="产品"/>
    <x:tableColumn id="3" name="客户与准入"/>
    <x:tableColumn id="4" name="收费及单位"/>
    <x:tableColumn id="5" name="包含权益"/>
    <x:tableColumn id="6" name="组织流程"/>
    <x:tableColumn id="7" name="获客与经营表现"/>
    <x:tableColumn id="8" name="我们的判断"/>
    <x:tableColumn id="9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searchProducts2" displayName="ResearchProducts2" ref="A5:H17" headerRowCount="1" totalsRowCount="0" totalsRowShown="0">
  <x:tableColumns count="8">
    <x:tableColumn id="1" name="线路"/>
    <x:tableColumn id="2" name="研究日期"/>
    <x:tableColumn id="3" name="统一条件"/>
    <x:tableColumn id="4" name="成本项目"/>
    <x:tableColumn id="5" name="单价 元"/>
    <x:tableColumn id="6" name="数量"/>
    <x:tableColumn id="7" name="人均金额 元"/>
    <x:tableColumn id="8" name="价格状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searchProducts3" displayName="ResearchProducts3" ref="A5:F44" headerRowCount="1" totalsRowCount="0" totalsRowShown="0">
  <x:tableColumns count="6">
    <x:tableColumn id="1" name="编号"/>
    <x:tableColumn id="2" name="资料"/>
    <x:tableColumn id="3" name="类别"/>
    <x:tableColumn id="4" name="适用时间"/>
    <x:tableColumn id="5" name="使用说明"/>
    <x:tableColumn id="6" name="原文入口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esearchProducts4" displayName="ResearchProducts4" ref="A5:F41" headerRowCount="1" totalsRowCount="0" totalsRowShown="0">
  <x:tableColumns count="6">
    <x:tableColumn id="1" name="机构"/>
    <x:tableColumn id="2" name="组织方式"/>
    <x:tableColumn id="3" name="地区"/>
    <x:tableColumn id="4" name="目标客户"/>
    <x:tableColumn id="5" name="本轮用途"/>
    <x:tableColumn id="6" name="原文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 standalone='yes'?>
<Relationships xmlns="http://schemas.openxmlformats.org/package/2006/relationships"><Relationship Type="http://schemas.openxmlformats.org/officeDocument/2006/relationships/table" Target="/xl/tables/table1.xml" Id="R396e01e1a0964182"/><Relationship Id="rIdResearch1" Type="http://schemas.openxmlformats.org/officeDocument/2006/relationships/hyperlink" Target="https://www.32hike.com/personal_detail/92.html" TargetMode="External"/><Relationship Id="rIdResearch2" Type="http://schemas.openxmlformats.org/officeDocument/2006/relationships/hyperlink" Target="https://www.32hike.com/detail/227411.html" TargetMode="External"/><Relationship Id="rIdResearch3" Type="http://schemas.openxmlformats.org/officeDocument/2006/relationships/hyperlink" Target="https://www.youxiake.com/lines.html?id=64810" TargetMode="External"/><Relationship Id="rIdResearch4" Type="http://schemas.openxmlformats.org/officeDocument/2006/relationships/hyperlink" Target="https://www.zuanshi.com/new/loveCustomization" TargetMode="External"/><Relationship Id="rIdResearch5" Type="http://schemas.openxmlformats.org/officeDocument/2006/relationships/hyperlink" Target="https://www.liangyuan.com/" TargetMode="External"/><Relationship Id="rIdResearch6" Type="http://schemas.openxmlformats.org/officeDocument/2006/relationships/hyperlink" Target="https://www.xiaohongshu.com/user/profile/6270c387000000002102a8b5" TargetMode="External"/><Relationship Id="rIdResearch7" Type="http://schemas.openxmlformats.org/officeDocument/2006/relationships/hyperlink" Target="https://www.ruailove.com/party/89.html" TargetMode="External"/><Relationship Id="rIdResearch8" Type="http://schemas.openxmlformats.org/officeDocument/2006/relationships/hyperlink" Target="https://jinrishangye.com/8357/" TargetMode="External"/><Relationship Id="rIdResearch9" Type="http://schemas.openxmlformats.org/officeDocument/2006/relationships/hyperlink" Target="https://www.sohu.com/a/1055933312_121626427" TargetMode="External"/><Relationship Id="rIdResearch10" Type="http://schemas.openxmlformats.org/officeDocument/2006/relationships/hyperlink" Target="https://www.jfh999.com/party/311.html" TargetMode="External"/><Relationship Id="rIdResearch11" Type="http://schemas.openxmlformats.org/officeDocument/2006/relationships/hyperlink" Target="https://meetknow.com/activities/beijing" TargetMode="External"/><Relationship Id="rIdResearch12" Type="http://schemas.openxmlformats.org/officeDocument/2006/relationships/hyperlink" Target="https://home.54traveler.com/" TargetMode="External"/><Relationship Id="rIdResearch13" Type="http://schemas.openxmlformats.org/officeDocument/2006/relationships/hyperlink" Target="https://www.modernist.club/" TargetMode="External"/><Relationship Id="rIdResearch14" Type="http://schemas.openxmlformats.org/officeDocument/2006/relationships/hyperlink" Target="https://members.thesupperclubinc.com/membership" TargetMode="External"/><Relationship Id="rIdResearch15" Type="http://schemas.openxmlformats.org/officeDocument/2006/relationships/hyperlink" Target="https://parlor.social/Parlor%20Membership.pdf" TargetMode="External"/><Relationship Id="rIdResearch16" Type="http://schemas.openxmlformats.org/officeDocument/2006/relationships/hyperlink" Target="https://www.mandala.club/enquire" TargetMode="External"/><Relationship Id="rIdResearch17" Type="http://schemas.openxmlformats.org/officeDocument/2006/relationships/hyperlink" Target="https://www.67pallmall.com/the-singapore-club/membership/" TargetMode="External"/><Relationship Id="rIdResearch18" Type="http://schemas.openxmlformats.org/officeDocument/2006/relationships/hyperlink" Target="https://legacy.thebatterysf.com/societies" TargetMode="External"/><Relationship Id="rIdResearch19" Type="http://schemas.openxmlformats.org/officeDocument/2006/relationships/hyperlink" Target="https://www.carlyleandco.com/" TargetMode="External"/><Relationship Id="rIdResearch20" Type="http://schemas.openxmlformats.org/officeDocument/2006/relationships/hyperlink" Target="https://estellecommunity.com/" TargetMode="External"/><Relationship Id="rIdResearch21" Type="http://schemas.openxmlformats.org/officeDocument/2006/relationships/hyperlink" Target="https://www.theartsclub.co.uk/membership/" TargetMode="External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a91efa91f194c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b3c31fdde82c4325" /></Relationships>
</file>

<file path=xl/worksheets/_rels/sheet4.xml.rels><?xml version='1.0' encoding='UTF-8' standalone='yes'?>
<Relationships xmlns="http://schemas.openxmlformats.org/package/2006/relationships"><Relationship Type="http://schemas.openxmlformats.org/officeDocument/2006/relationships/table" Target="/xl/tables/table3.xml" Id="R2039664e1ca541bd"/><Relationship Id="rIdResearch1" Type="http://schemas.openxmlformats.org/officeDocument/2006/relationships/hyperlink" Target="https://www.32hike.com/aboutus.html" TargetMode="External"/><Relationship Id="rIdResearch2" Type="http://schemas.openxmlformats.org/officeDocument/2006/relationships/hyperlink" Target="https://www.youxiake.com/" TargetMode="External"/><Relationship Id="rIdResearch3" Type="http://schemas.openxmlformats.org/officeDocument/2006/relationships/hyperlink" Target="https://home.54traveler.com/" TargetMode="External"/><Relationship Id="rIdResearch4" Type="http://schemas.openxmlformats.org/officeDocument/2006/relationships/hyperlink" Target="https://www.zuanshi.com/new/loveCustomization" TargetMode="External"/><Relationship Id="rIdResearch5" Type="http://schemas.openxmlformats.org/officeDocument/2006/relationships/hyperlink" Target="https://www.zuanshi.com/webContent/question" TargetMode="External"/><Relationship Id="rIdResearch6" Type="http://schemas.openxmlformats.org/officeDocument/2006/relationships/hyperlink" Target="https://www.zuanshi.com/webActivity/newActivityList" TargetMode="External"/><Relationship Id="rIdResearch7" Type="http://schemas.openxmlformats.org/officeDocument/2006/relationships/hyperlink" Target="https://www.liangyuan.com/" TargetMode="External"/><Relationship Id="rIdResearch8" Type="http://schemas.openxmlformats.org/officeDocument/2006/relationships/hyperlink" Target="https://www.ruailove.com/party/89.html" TargetMode="External"/><Relationship Id="rIdResearch9" Type="http://schemas.openxmlformats.org/officeDocument/2006/relationships/hyperlink" Target="https://www.jfh999.com/party/311.html" TargetMode="External"/><Relationship Id="rIdResearch10" Type="http://schemas.openxmlformats.org/officeDocument/2006/relationships/hyperlink" Target="https://jinrishangye.com/8357/" TargetMode="External"/><Relationship Id="rIdResearch11" Type="http://schemas.openxmlformats.org/officeDocument/2006/relationships/hyperlink" Target="https://www.xsms-club.com/" TargetMode="External"/><Relationship Id="rIdResearch12" Type="http://schemas.openxmlformats.org/officeDocument/2006/relationships/hyperlink" Target="https://www.sohu.com/a/1055933312_121626427" TargetMode="External"/><Relationship Id="rIdResearch13" Type="http://schemas.openxmlformats.org/officeDocument/2006/relationships/hyperlink" Target="https://meetknow.com/activities/beijing" TargetMode="External"/><Relationship Id="rIdResearch14" Type="http://schemas.openxmlformats.org/officeDocument/2006/relationships/hyperlink" Target="https://www.xiaohongshu.com/user/profile/6270c387000000002102a8b5" TargetMode="External"/><Relationship Id="rIdResearch15" Type="http://schemas.openxmlformats.org/officeDocument/2006/relationships/hyperlink" Target="https://www.himmr.tech/" TargetMode="External"/><Relationship Id="rIdResearch16" Type="http://schemas.openxmlformats.org/officeDocument/2006/relationships/hyperlink" Target="https://paper.people.com.cn/rmlt/pc/content/202607/03/content_30172466.html" TargetMode="External"/><Relationship Id="rIdResearch17" Type="http://schemas.openxmlformats.org/officeDocument/2006/relationships/hyperlink" Target="https://www.syyalongbay.cn/news_detail_34.html" TargetMode="External"/><Relationship Id="rIdResearch18" Type="http://schemas.openxmlformats.org/officeDocument/2006/relationships/hyperlink" Target="https://www.marriott.com.cn/hotels/hotel-information/syxxr-the-st-regis-sanya-yalong-bay-resort/" TargetMode="External"/><Relationship Id="rIdResearch19" Type="http://schemas.openxmlformats.org/officeDocument/2006/relationships/hyperlink" Target="https://www.modernist.club/" TargetMode="External"/><Relationship Id="rIdResearch20" Type="http://schemas.openxmlformats.org/officeDocument/2006/relationships/hyperlink" Target="https://members.thesupperclubinc.com/membership" TargetMode="External"/><Relationship Id="rIdResearch21" Type="http://schemas.openxmlformats.org/officeDocument/2006/relationships/hyperlink" Target="https://thesupperclubinc.com/terms-of-services" TargetMode="External"/><Relationship Id="rIdResearch22" Type="http://schemas.openxmlformats.org/officeDocument/2006/relationships/hyperlink" Target="https://parlor.social/Parlor%20Membership.pdf" TargetMode="External"/><Relationship Id="rIdResearch23" Type="http://schemas.openxmlformats.org/officeDocument/2006/relationships/hyperlink" Target="https://www.mandala.club/enquire" TargetMode="External"/><Relationship Id="rIdResearch24" Type="http://schemas.openxmlformats.org/officeDocument/2006/relationships/hyperlink" Target="https://www.mandala.club/" TargetMode="External"/><Relationship Id="rIdResearch25" Type="http://schemas.openxmlformats.org/officeDocument/2006/relationships/hyperlink" Target="https://www.67pallmall.com/the-singapore-club/membership/" TargetMode="External"/><Relationship Id="rIdResearch26" Type="http://schemas.openxmlformats.org/officeDocument/2006/relationships/hyperlink" Target="https://legacy.thebatterysf.com/societies" TargetMode="External"/><Relationship Id="rIdResearch27" Type="http://schemas.openxmlformats.org/officeDocument/2006/relationships/hyperlink" Target="https://thebatterysf.com/events" TargetMode="External"/><Relationship Id="rIdResearch28" Type="http://schemas.openxmlformats.org/officeDocument/2006/relationships/hyperlink" Target="https://www.carlyleandco.com/" TargetMode="External"/><Relationship Id="rIdResearch29" Type="http://schemas.openxmlformats.org/officeDocument/2006/relationships/hyperlink" Target="https://estellecommunity.com/" TargetMode="External"/><Relationship Id="rIdResearch30" Type="http://schemas.openxmlformats.org/officeDocument/2006/relationships/hyperlink" Target="https://www.theartsclub.co.uk/membership/" TargetMode="External"/><Relationship Id="rIdResearch31" Type="http://schemas.openxmlformats.org/officeDocument/2006/relationships/hyperlink" Target="https://theartsclub.co.uk/arts-culture/" TargetMode="External"/><Relationship Id="rIdResearch32" Type="http://schemas.openxmlformats.org/officeDocument/2006/relationships/hyperlink" Target="https://www.32hike.com/personal_detail/92.html" TargetMode="External"/><Relationship Id="rIdResearch33" Type="http://schemas.openxmlformats.org/officeDocument/2006/relationships/hyperlink" Target="https://www.32hike.com/detail/227411.html" TargetMode="External"/><Relationship Id="rIdResearch34" Type="http://schemas.openxmlformats.org/officeDocument/2006/relationships/hyperlink" Target="https://www.youxiake.com/lines.html?id=64810" TargetMode="External"/><Relationship Id="rIdResearch35" Type="http://schemas.openxmlformats.org/officeDocument/2006/relationships/hyperlink" Target="https://www.hurun.cn/zh-CN/Info/Detail?num=CSX6BTOMEWY4" TargetMode="External"/><Relationship Id="rIdResearch36" Type="http://schemas.openxmlformats.org/officeDocument/2006/relationships/hyperlink" Target="https://mzt.fj.gov.cn/gk/wpldq/202610/t20261008_7221424.htm" TargetMode="External"/><Relationship Id="rIdResearch37" Type="http://schemas.openxmlformats.org/officeDocument/2006/relationships/hyperlink" Target="https://zwgk.mct.gov.cn/zfxxgkml/zcfg/fl/202105/t20210526_924763.html" TargetMode="External"/><Relationship Id="rIdResearch38" Type="http://schemas.openxmlformats.org/officeDocument/2006/relationships/hyperlink" Target="https://www.cac.gov.cn/2021-08/20/c_1631050028355286.htm" TargetMode="External"/></Relationships>
</file>

<file path=xl/worksheets/_rels/sheet5.xml.rels><?xml version='1.0' encoding='UTF-8' standalone='yes'?>
<Relationships xmlns="http://schemas.openxmlformats.org/package/2006/relationships"><Relationship Type="http://schemas.openxmlformats.org/officeDocument/2006/relationships/table" Target="/xl/tables/table4.xml" Id="R497999853d424190"/><Relationship Id="rIdResearch1" Type="http://schemas.openxmlformats.org/officeDocument/2006/relationships/hyperlink" Target="https://www.zuanshi.com/new/loveCustomization" TargetMode="External"/><Relationship Id="rIdResearch2" Type="http://schemas.openxmlformats.org/officeDocument/2006/relationships/hyperlink" Target="https://members.hkjc.com/about-membership/en-US/Membership" TargetMode="External"/><Relationship Id="rIdResearch3" Type="http://schemas.openxmlformats.org/officeDocument/2006/relationships/hyperlink" Target="https://member.eonetwork.org/chinaeast/about-our-chapter/" TargetMode="External"/><Relationship Id="rIdResearch4" Type="http://schemas.openxmlformats.org/officeDocument/2006/relationships/hyperlink" Target="https://www.ckgsb.com/emba/common_problems/" TargetMode="External"/><Relationship Id="rIdResearch5" Type="http://schemas.openxmlformats.org/officeDocument/2006/relationships/hyperlink" Target="https://www.iceo.com.cn/zt/2026_mulannh/" TargetMode="External"/><Relationship Id="rIdResearch6" Type="http://schemas.openxmlformats.org/officeDocument/2006/relationships/hyperlink" Target="https://thecapitalclub.com/zh-hans/julebulishi/" TargetMode="External"/><Relationship Id="rIdResearch7" Type="http://schemas.openxmlformats.org/officeDocument/2006/relationships/hyperlink" Target="https://www.higherclub.cn/" TargetMode="External"/><Relationship Id="rIdResearch8" Type="http://schemas.openxmlformats.org/officeDocument/2006/relationships/hyperlink" Target="https://www.tpc.com.cn/membership" TargetMode="External"/><Relationship Id="rIdResearch9" Type="http://schemas.openxmlformats.org/officeDocument/2006/relationships/hyperlink" Target="https://www.missionhillschina.com/golfathon/" TargetMode="External"/><Relationship Id="rIdResearch10" Type="http://schemas.openxmlformats.org/officeDocument/2006/relationships/hyperlink" Target="https://www.nanshamarina.com/membership/128.html" TargetMode="External"/><Relationship Id="rIdResearch11" Type="http://schemas.openxmlformats.org/officeDocument/2006/relationships/hyperlink" Target="https://www.rbsc.org/member-benefits/roosevelt-club-shanghai/" TargetMode="External"/><Relationship Id="rIdResearch12" Type="http://schemas.openxmlformats.org/officeDocument/2006/relationships/hyperlink" Target="https://www.oldchair.cn/wsdhy_jiage" TargetMode="External"/><Relationship Id="rIdResearch13" Type="http://schemas.openxmlformats.org/officeDocument/2006/relationships/hyperlink" Target="https://www.clec.com.cn/p/sirendongshihui.html" TargetMode="External"/><Relationship Id="rIdResearch14" Type="http://schemas.openxmlformats.org/officeDocument/2006/relationships/hyperlink" Target="https://www.ypo.org/become-a-member/" TargetMode="External"/><Relationship Id="rIdResearch15" Type="http://schemas.openxmlformats.org/officeDocument/2006/relationships/hyperlink" Target="https://www.daonong.com/about" TargetMode="External"/><Relationship Id="rIdResearch16" Type="http://schemas.openxmlformats.org/officeDocument/2006/relationships/hyperlink" Target="https://www.chuanghehui.com/view/club" TargetMode="External"/><Relationship Id="rIdResearch17" Type="http://schemas.openxmlformats.org/officeDocument/2006/relationships/hyperlink" Target="https://www.cefco.cn/phone/cooperation/index.html" TargetMode="External"/><Relationship Id="rIdResearch18" Type="http://schemas.openxmlformats.org/officeDocument/2006/relationships/hyperlink" Target="https://detion.com/news/3527" TargetMode="External"/><Relationship Id="rIdResearch19" Type="http://schemas.openxmlformats.org/officeDocument/2006/relationships/hyperlink" Target="https://cn.ceibs.edu/gemba/tuition-fees" TargetMode="External"/><Relationship Id="rIdResearch20" Type="http://schemas.openxmlformats.org/officeDocument/2006/relationships/hyperlink" Target="https://edp.phbs.pku.edu.cn/info/1271/13221.htm" TargetMode="External"/><Relationship Id="rIdResearch21" Type="http://schemas.openxmlformats.org/officeDocument/2006/relationships/hyperlink" Target="https://emba.pbcsf.tsinghua.edu.cn/index.htm" TargetMode="External"/><Relationship Id="rIdResearch22" Type="http://schemas.openxmlformats.org/officeDocument/2006/relationships/hyperlink" Target="https://emba.saif.sjtu.edu.cn/emba_mobile/content/show/236-887.html" TargetMode="External"/><Relationship Id="rIdResearch23" Type="http://schemas.openxmlformats.org/officeDocument/2006/relationships/hyperlink" Target="https://cob.sufe.edu.cn/websites/MBA/Admissions/EMBA-Financial-2026/index.html" TargetMode="External"/><Relationship Id="rIdResearch24" Type="http://schemas.openxmlformats.org/officeDocument/2006/relationships/hyperlink" Target="https://www.shenshang.org/sgcc/about-sgcc" TargetMode="External"/><Relationship Id="rIdResearch25" Type="http://schemas.openxmlformats.org/officeDocument/2006/relationships/hyperlink" Target="https://www.socia.org/Member/user/Chamber.html" TargetMode="External"/><Relationship Id="rIdResearch26" Type="http://schemas.openxmlformats.org/officeDocument/2006/relationships/hyperlink" Target="https://www.amcham-shanghai.org/membership/resident" TargetMode="External"/><Relationship Id="rIdResearch27" Type="http://schemas.openxmlformats.org/officeDocument/2006/relationships/hyperlink" Target="https://www.amchamchina.org/membership/" TargetMode="External"/><Relationship Id="rIdResearch28" Type="http://schemas.openxmlformats.org/officeDocument/2006/relationships/hyperlink" Target="https://mzj.sh.gov.cn/MZ_shetuan748_0-2-3-357-732/20200520/MZ_shetuan748_141531.html" TargetMode="External"/><Relationship Id="rIdResearch29" Type="http://schemas.openxmlformats.org/officeDocument/2006/relationships/hyperlink" Target="https://conservation.see.org.cn/news/dynamic/2025/1203/12953.html" TargetMode="External"/><Relationship Id="rIdResearch30" Type="http://schemas.openxmlformats.org/officeDocument/2006/relationships/hyperlink" Target="https://m.7799520.com/news/32674.html&#10;https://www.7799520.com/about.html" TargetMode="External"/><Relationship Id="rIdResearch31" Type="http://schemas.openxmlformats.org/officeDocument/2006/relationships/hyperlink" Target="https://www.jfh999.com/about/1.html&#10;https://www.jfh999.com/about/20.html" TargetMode="External"/><Relationship Id="rIdResearch32" Type="http://schemas.openxmlformats.org/officeDocument/2006/relationships/hyperlink" Target="https://www.zhenai.com/&#10;https://i.zhenai.com/m/client/intro/agree.html" TargetMode="External"/><Relationship Id="rIdResearch33" Type="http://schemas.openxmlformats.org/officeDocument/2006/relationships/hyperlink" Target="https://www.douyin.com/user/MS4wLjABAAAAzS55hxJ4_NKjM9xZw8xHpGVx8sP-m2Bxy6ekRE2I7-Q" TargetMode="External"/><Relationship Id="rIdResearch34" Type="http://schemas.openxmlformats.org/officeDocument/2006/relationships/hyperlink" Target="https://www.himmr.tech/" TargetMode="External"/><Relationship Id="rIdResearch35" Type="http://schemas.openxmlformats.org/officeDocument/2006/relationships/hyperlink" Target="https://apps.apple.com/cn/app/id1472343551" TargetMode="External"/><Relationship Id="rIdResearch36" Type="http://schemas.openxmlformats.org/officeDocument/2006/relationships/hyperlink" Target="https://apps.apple.com/cn/app/id1475216610" TargetMode="External"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25" hidden="0" customWidth="1"/>
    <x:col min="2" max="2" width="24" hidden="0" customWidth="1"/>
    <x:col min="3" max="3" width="48" hidden="0" customWidth="1"/>
    <x:col min="4" max="4" width="40" hidden="0" customWidth="1"/>
    <x:col min="5" max="5" width="48" hidden="0" customWidth="1"/>
    <x:col min="6" max="6" width="48" hidden="0" customWidth="1"/>
    <x:col min="7" max="7" width="48" hidden="0" customWidth="1"/>
    <x:col min="8" max="8" width="48" hidden="0" customWidth="1"/>
    <x:col min="9" max="9" width="1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34" customHeight="1">
      <x:c r="A2" s="3" t="str">
        <x:v>高端单身旅行与社群对标</x:v>
      </x:c>
      <x:c r="B2" s="2"/>
      <x:c r="C2" s="2"/>
      <x:c r="D2" s="2"/>
      <x:c r="E2" s="2"/>
      <x:c r="F2" s="2"/>
      <x:c r="G2" s="2"/>
      <x:c r="H2" s="2"/>
      <x:c r="I2" s="2"/>
    </x:row>
    <x:row r="3">
      <x:c r="A3" s="2" t="str">
        <x:v>国内12个对象13个产品，国外9个参考；产品逐行。BoL身份已由Olivia确认。</x:v>
      </x:c>
      <x:c r="B3" s="2"/>
      <x:c r="C3" s="2"/>
      <x:c r="D3" s="2"/>
      <x:c r="E3" s="2"/>
      <x:c r="F3" s="2"/>
      <x:c r="G3" s="2"/>
      <x:c r="H3" s="2"/>
      <x:c r="I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</x:row>
    <x:row r="5" ht="34" customHeight="1">
      <x:c r="A5" s="7" t="str">
        <x:v>机构及组织方式</x:v>
      </x:c>
      <x:c r="B5" s="7" t="str">
        <x:v>产品</x:v>
      </x:c>
      <x:c r="C5" s="7" t="str">
        <x:v>客户与准入</x:v>
      </x:c>
      <x:c r="D5" s="7" t="str">
        <x:v>收费及单位</x:v>
      </x:c>
      <x:c r="E5" s="7" t="str">
        <x:v>包含权益</x:v>
      </x:c>
      <x:c r="F5" s="7" t="str">
        <x:v>组织流程</x:v>
      </x:c>
      <x:c r="G5" s="7" t="str">
        <x:v>获客与经营表现</x:v>
      </x:c>
      <x:c r="H5" s="7" t="str">
        <x:v>我们的判断</x:v>
      </x:c>
      <x:c r="I5" s="7" t="str">
        <x:v>来源</x:v>
      </x:c>
    </x:row>
    <x:row r="6" ht="70" customHeight="1">
      <x:c r="A6" s="10" t="str">
        <x:v>32号
旅行社主导</x:v>
      </x:c>
      <x:c r="B6" s="10" t="str">
        <x:v>海南六日私家团</x:v>
      </x:c>
      <x:c r="C6" s="10" t="str">
        <x:v>该产品可报名3至60岁，未成年人须监护人同行；一单一团，不与陌生人拼团。适合既有亲友、家庭或自组同行者，未设置单身、职业、收入或资产门槛。</x:v>
      </x:c>
      <x:c r="D6" s="10" t="str">
        <x:v>5980元起／人，六天五晚；日期与房态二次确认</x:v>
      </x:c>
      <x:c r="E6" s="10" t="str">
        <x:v>五晚5钻基础房、默认两人一间；行程车与持证司导、约定门票体验、酒店早餐及一顿椰子鸡晚餐。往返海口交通、多数正餐和单房差另付。</x:v>
      </x:c>
      <x:c r="F6" s="10" t="str">
        <x:v>海口集合、咖啡手作及采椰、雨林体验、蜈支洲、棋子湾、海口送机；2人起订。退团扣款从出行前10至7日20%逐级至当日70%，另有实际损失条款。</x:v>
      </x:c>
      <x:c r="G6" s="10" t="str">
        <x:v>自有APP、微信、领队与好友推荐，企业团建另有入口。
官网自述100万以上累计用户、600多位在册领队、85%用户来自好友推荐；指标无截止时间与审计。</x:v>
      </x:c>
      <x:c r="H6" s="10" t="str">
        <x:v>优先学旅行报价的包含与不含项、独住加价和司导分工。它不提供陌生单身筛选，5980起不能直接与我们的19800四日独住社交试价相减。盈利及收款成本未公开。</x:v>
      </x:c>
      <x:c r="I6" s="10" t="str">
        <x:v>D17、D01</x:v>
      </x:c>
    </x:row>
    <x:row r="7" ht="55" customHeight="1">
      <x:c r="A7" s="9" t="str">
        <x:v>32号
旅行社主导</x:v>
      </x:c>
      <x:c r="B7" s="9" t="str">
        <x:v>新西兰南北岛十二日</x:v>
      </x:c>
      <x:c r="C7" s="9" t="str">
        <x:v>对自然、徒步、当地体验感兴趣的旅行者；本页不是单身婚恋专场，具体年龄与职业收入条件需逐项核对。</x:v>
      </x:c>
      <x:c r="D7" s="9" t="str">
        <x:v>23900元／人，奥克兰集合；团期选项价格与余位以预订为准</x:v>
      </x:c>
      <x:c r="E7" s="9" t="str">
        <x:v>线路页公开十二日日程和费用须知；该金额不能当北京出发含国际机票全包价。</x:v>
      </x:c>
      <x:c r="F7" s="9" t="str">
        <x:v>奥克兰集合、北岛游览、渡海到南岛、当地体验、行程结束；公开团期有满员和报名状态，但不等同实际已出发。</x:v>
      </x:c>
      <x:c r="G7" s="9" t="str">
        <x:v>自有品牌官网、APP及推荐入口。
官网可见多团期排期与余位，缺已完成客户数和单团利润。</x:v>
      </x:c>
      <x:c r="H7" s="9" t="str">
        <x:v>说明两万元级别价格有真实旅行商品参照。不能证明四日单身旅行同价能卖出；需要拆分天数、房间、交通和社交服务。</x:v>
      </x:c>
      <x:c r="I7" s="9" t="str">
        <x:v>D18</x:v>
      </x:c>
    </x:row>
    <x:row r="8" ht="55" customHeight="1">
      <x:c r="A8" s="10" t="str">
        <x:v>游侠客
旅行社主导</x:v>
      </x:c>
      <x:c r="B8" s="10" t="str">
        <x:v>上海至杭州茅家埠一日</x:v>
      </x:c>
      <x:c r="C8" s="10" t="str">
        <x:v>公开线路适合6至69岁，午餐自理；以西湖轻徒步为兴趣，不限真实单身，未披露收入、职业和性格门槛。</x:v>
      </x:c>
      <x:c r="D8" s="10" t="str">
        <x:v>逐条线路报价；本轮未取得符合统一条件的三亚报价</x:v>
      </x:c>
      <x:c r="E8" s="10" t="str">
        <x:v>往返合规旅游车、司机与工作人员补贴；午餐和保险自理。</x:v>
      </x:c>
      <x:c r="F8" s="10" t="str">
        <x:v>在线选批次并报名、集合、景区步行、约16:30返沪、约19时散团；具体以当日交通为准。</x:v>
      </x:c>
      <x:c r="G8" s="10" t="str">
        <x:v>官网内容、游记、摄影作品、领队及各城市入口。
首页持续展示报名动态和线路累计报名数；本轮不同缓存动态不一致，不作为当日成交统计。</x:v>
      </x:c>
      <x:c r="H8" s="10" t="str">
        <x:v>优先学按兴趣组织同行和城市内容入口。可以研究产品收费来源，不能据累计报名推利润。需要稳定主题内容和真实交付记录。</x:v>
      </x:c>
      <x:c r="I8" s="10" t="str">
        <x:v>D19、D02</x:v>
      </x:c>
    </x:row>
    <x:row r="9" ht="85" customHeight="1">
      <x:c r="A9" s="9" t="str">
        <x:v>钻石婚恋
婚恋机构主导</x:v>
      </x:c>
      <x:c r="B9" s="9" t="str">
        <x:v>爱情定制及圈层活动</x:v>
      </x:c>
      <x:c r="C9" s="9" t="str">
        <x:v>机构称服务个人或家庭财产1000万元以上或个人条件极优秀者；具体活动另设条件。不能据此写成所有购买者个人净资产过亿。年龄、收入、性格按活动和个体分列。</x:v>
      </x:c>
      <x:c r="D9" s="9" t="str">
        <x:v>定制30万、60万、100万元起；不是旅行票或年费</x:v>
      </x:c>
      <x:c r="E9" s="9" t="str">
        <x:v>顾问、猎头及相关专业部门协作；了解成长、情感、教育、原生家庭、性格爱好及择偶方向。服务期和推荐次数未在本页完整列示。</x:v>
      </x:c>
      <x:c r="F9" s="9" t="str">
        <x:v>了解个人与择偶方向、审核、团队筛选、落实候选及后续服务；公开28流程为机构说法，未见逐步时长。</x:v>
      </x:c>
      <x:c r="G9" s="9" t="str">
        <x:v>官网申请、品牌内容与圈层活动；小红书前轮粉丝11557。
有明确高价产品及分层活动招募；实收客户数、续购和利润未公开。山野活动尚不能证明高价单身旅行已成行。</x:v>
      </x:c>
      <x:c r="H9" s="9" t="str">
        <x:v>重点学财富口径与婚恋意愿双重筛选、私密服务。高价来自深度人力服务，不能直接迁移到四天旅行。需要候选资源、顾问和隐私管理。</x:v>
      </x:c>
      <x:c r="I9" s="9" t="str">
        <x:v>D04、D05、D06</x:v>
      </x:c>
    </x:row>
    <x:row r="10" ht="55" customHeight="1">
      <x:c r="A10" s="10" t="str">
        <x:v>我主良缘
婚恋机构主导</x:v>
      </x:c>
      <x:c r="B10" s="10" t="str">
        <x:v>红娘服务及派聚旅行社交</x:v>
      </x:c>
      <x:c r="C10" s="10" t="str">
        <x:v>同城婚恋客户；年龄收入随城市和套餐变化，官网品牌定位不能替代实际购买画像。</x:v>
      </x:c>
      <x:c r="D10" s="10" t="str">
        <x:v>当前红娘和旅行产品完整报价未取得</x:v>
      </x:c>
      <x:c r="E10" s="10" t="str">
        <x:v>品牌矩阵包括婚恋、情感、形象及旅行社交；派聚的当前行程、权益未取得。</x:v>
      </x:c>
      <x:c r="F10" s="10" t="str">
        <x:v>同城资料、咨询、匹配和线下服务；旅行线具体流程待核。</x:v>
      </x:c>
      <x:c r="G10" s="10" t="str">
        <x:v>门店、品牌官网、活动及跨服务入口。
可确认旅行社交品牌入口；不同公开页面员工数不一致，无可核的当前旅行收入和成团量。</x:v>
      </x:c>
      <x:c r="H10" s="10" t="str">
        <x:v>保留为婚恋加旅行的业务结构参照，暂不作为已跑通的旅行盈利案例。要先问清旅行由谁收款承办，婚恋顾问参与几天，旅行客是否购买后续服务。</x:v>
      </x:c>
      <x:c r="I10" s="10" t="str">
        <x:v>D07</x:v>
      </x:c>
    </x:row>
    <x:row r="11" ht="70" customHeight="1">
      <x:c r="A11" s="9" t="str">
        <x:v>BoL／BoL Selected
独立社群主导</x:v>
      </x:c>
      <x:c r="B11" s="9" t="str">
        <x:v>商务生活成长与单身晚宴</x:v>
      </x:c>
      <x:c r="C11" s="9" t="str">
        <x:v>用户资料展示海归及城市职业人群，商业兴趣、运动和生活方式共同参与；Selected针对经筛选单身人。90%以上海归、10w+是旧资料品牌自述，非付费画像。</x:v>
      </x:c>
      <x:c r="D11" s="9" t="str">
        <x:v>当前单场和VIP完整价格未取得</x:v>
      </x:c>
      <x:c r="E11" s="9" t="str">
        <x:v>母品牌商务生活活动，Selected单身晚宴及VIP／发现／活动入口；实际重叠权益待核。</x:v>
      </x:c>
      <x:c r="F11" s="9" t="str">
        <x:v>旧资料可见主题招募、申请筛选、晚宴及后续入口；未获得完整现场时间表。</x:v>
      </x:c>
      <x:c r="G11" s="9" t="str">
        <x:v>品牌内容、产业酒会、运动、主题分享、小程序；可见双品牌入口。
Olivia确认这是会议深圳案例；其不盈利为用户判断，账目、客户量和亏损原因未取得。</x:v>
      </x:c>
      <x:c r="H11" s="9" t="str">
        <x:v>最贴近我们的双线结构。应共用场地、主理人和内容，分别管理关系意愿。收费与复购还需交易证据；不能因场面好看就推断经营成功。</x:v>
      </x:c>
      <x:c r="I11" s="9" t="str">
        <x:v>D15</x:v>
      </x:c>
    </x:row>
    <x:row r="12" ht="85" customHeight="1">
      <x:c r="A12" s="10" t="str">
        <x:v>大超说媒
独立社群主导</x:v>
      </x:c>
      <x:c r="B12" s="10" t="str">
        <x:v>主理人内容获客及线下聚会</x:v>
      </x:c>
      <x:c r="C12" s="10" t="str">
        <x:v>公开婚恋参与者及同行红娘，两种产品面向不同客户。999本人定位面向择偶者，199红娘定位面向行业从业者；年龄、职业收入需回到具体招募。</x:v>
      </x:c>
      <x:c r="D12" s="10" t="str">
        <x:v>主页999元本人定位、199元红娘定位；完整交付期未明确</x:v>
      </x:c>
      <x:c r="E12" s="10" t="str">
        <x:v>定位项目不等于全程婚介；线下活动价格、卡次、旅行服务未核实。</x:v>
      </x:c>
      <x:c r="F12" s="10" t="str">
        <x:v>短视频看到主理人、咨询、定位或聚会、后续服务。10月18日有聚会视频。</x:v>
      </x:c>
      <x:c r="G12" s="10" t="str">
        <x:v>主理人抖音、小红书、线下活动；高度依赖本人出镜及信任。
10月22日抖音03号24万粉、1019.1万获赞、212作品；05号7.2万粉、166.1万获赞、337作品。客户成交、获客成本和旅行收入未知。</x:v>
      </x:c>
      <x:c r="H12" s="10" t="str">
        <x:v>重点学内容如何引导到线下。本人IP带来线索，但团队交付复制难；婚礼旅行内容不能证明正在售卖单身旅行。</x:v>
      </x:c>
      <x:c r="I12" s="10" t="str">
        <x:v>D14</x:v>
      </x:c>
    </x:row>
    <x:row r="13" ht="55" customHeight="1">
      <x:c r="A13" s="9" t="str">
        <x:v>如爱单身俱乐部
婚恋机构主导</x:v>
      </x:c>
      <x:c r="B13" s="9" t="str">
        <x:v>盘锦稻田蟹一日活动</x:v>
      </x:c>
      <x:c r="C13" s="9" t="str">
        <x:v>公开单身活动，计划男15女15。该页面未给年龄职业收入门槛；兴趣由稻田、美食和户外主题表达。</x:v>
      </x:c>
      <x:c r="D13" s="9" t="str">
        <x:v>男115元，女95元，2026年10月18日</x:v>
      </x:c>
      <x:c r="E13" s="9" t="str">
        <x:v>仅可核主题、时间与性别票价；车餐保险包含项未完整公开。</x:v>
      </x:c>
      <x:c r="F13" s="9" t="str">
        <x:v>报名、咨询、身份证扫码签到；公开页未展开详细日程。</x:v>
      </x:c>
      <x:c r="G13" s="9" t="str">
        <x:v>婚恋网站、公众号及客服微信。
页面已结束、报名显示18；签到与评论空白。实际到场、毛利未知。</x:v>
      </x:c>
      <x:c r="H13" s="9" t="str">
        <x:v>适合学小额活动与男女分别招募；A8定位不足。价格透明度高于多数线索，但18个报名不能判断经营成熟。</x:v>
      </x:c>
      <x:c r="I13" s="9" t="str">
        <x:v>D08</x:v>
      </x:c>
    </x:row>
    <x:row r="14" ht="85" customHeight="1">
      <x:c r="A14" s="10" t="str">
        <x:v>南充囍上媒捎门店
婚恋机构主导</x:v>
      </x:c>
      <x:c r="B14" s="10" t="str">
        <x:v>九龙沟街子古镇两天一夜</x:v>
      </x:c>
      <x:c r="C14" s="10" t="str">
        <x:v>招募25至55岁真实单身、未婚或离异者；另写70/80/90后再婚专场，年龄范围不一致；职业、收入不设公开明确门槛。</x:v>
      </x:c>
      <x:c r="D14" s="10" t="str">
        <x:v>388元／人，2026年10月24至25日</x:v>
      </x:c>
      <x:c r="E14" s="10" t="str">
        <x:v>住宿、早餐、大巴、温泉、社交组织和物料；景区索道及个人自费另付。活动互相结识不另收牵线费，长期1对1另购。</x:v>
      </x:c>
      <x:c r="F14" s="10" t="str">
        <x:v>登记身份与择偶意向、核验、交费锁位、电话通知、旅途与互动、后续可选1对1；7天内已发生成本不退，可转给符合条件者。</x:v>
      </x:c>
      <x:c r="G14" s="10" t="str">
        <x:v>媒体、微信、视频号、社区业主群和企业渠道，为招募稿披露。
计划30人，尚未出发。主办为当地门店，承办署名南充禧唐商贸有限责任公司；旅行承办资质未核实。</x:v>
      </x:c>
      <x:c r="H14" s="10" t="str">
        <x:v>本轮最具体的婚恋旅行商品样本，适合学活动与长期服务分别收费。低价受酒店、正餐和规模影响，不能当高端成本。资金和旅行责任须进一步核实。</x:v>
      </x:c>
      <x:c r="I14" s="10" t="str">
        <x:v>D10、D11</x:v>
      </x:c>
    </x:row>
    <x:row r="15" ht="55" customHeight="1">
      <x:c r="A15" s="9" t="str">
        <x:v>北京爱旅等联合主办
独立社群线索</x:v>
      </x:c>
      <x:c r="B15" s="9" t="str">
        <x:v>玉渡山一日单身联谊</x:v>
      </x:c>
      <x:c r="C15" s="9" t="str">
        <x:v>80后至00后单身，正文出生范围不一致；自我介绍、户外与8分钟交流。资产、收入和职业未核验。</x:v>
      </x:c>
      <x:c r="D15" s="9" t="str">
        <x:v>138元／人，2026年8月1日</x:v>
      </x:c>
      <x:c r="E15" s="9" t="str">
        <x:v>大巴、门票、领队与保险；午餐自备或自理。</x:v>
      </x:c>
      <x:c r="F15" s="9" t="str">
        <x:v>8时车上认识、10时团队互动、11时30野餐、12时30分组、14时交叉8分钟交流、16时30返程。</x:v>
      </x:c>
      <x:c r="G15" s="9" t="str">
        <x:v>活动宣传、联谊合作组织与微信群入口。
计划200人，未取得支付人数、成行回顾或复购；主办与具体旅行承办关系待核。</x:v>
      </x:c>
      <x:c r="H15" s="9" t="str">
        <x:v>流程可以借鉴，但大规模低票价更像获客产品。应改成小组、减少走马灯式相亲，不能假设所有票款均归一个组织者。</x:v>
      </x:c>
      <x:c r="I15" s="9" t="str">
        <x:v>D12</x:v>
      </x:c>
    </x:row>
    <x:row r="16" ht="70" customHeight="1">
      <x:c r="A16" s="10" t="str">
        <x:v>金凤凰深港婚恋
婚恋机构主导</x:v>
      </x:c>
      <x:c r="B16" s="10" t="str">
        <x:v>大梅沙酒店交友活动</x:v>
      </x:c>
      <x:c r="C16" s="10" t="str">
        <x:v>深圳香港单身人，活动计划30男30女；公开样例含1995年事业单位硕士女性、1996年香港男性，兴趣包括旅行、羽毛球、瑜伽、音乐摄影。样例收入未披露。</x:v>
      </x:c>
      <x:c r="D16" s="10" t="str">
        <x:v>99元／人，2026年9月20日</x:v>
      </x:c>
      <x:c r="E16" s="10" t="str">
        <x:v>酒店场地与茶点，14至17时；长期婚介另签套餐。</x:v>
      </x:c>
      <x:c r="F16" s="10" t="str">
        <x:v>报名、单身资料核对、现场交友、后续红娘服务；本场逐分钟流程未公开。</x:v>
      </x:c>
      <x:c r="G16" s="10" t="str">
        <x:v>官网活动、红娘咨询与深港关系服务。
页面显示37男22女共59报名，计划60；实际到场未知。前轮小红书412粉。</x:v>
      </x:c>
      <x:c r="H16" s="10" t="str">
        <x:v>保留活动入口参照，不按高声量品牌推选。高价婚介各等级缺完整价表；活动低票价可能承担获客作用，但转化率未知。</x:v>
      </x:c>
      <x:c r="I16" s="10" t="str">
        <x:v>D09</x:v>
      </x:c>
    </x:row>
    <x:row r="17" ht="55" customHeight="1">
      <x:c r="A17" s="9" t="str">
        <x:v>MeetKnow
独立平台线索</x:v>
      </x:c>
      <x:c r="B17" s="9" t="str">
        <x:v>北京有房或高净值局</x:v>
      </x:c>
      <x:c r="C17" s="9" t="str">
        <x:v>男30至46、女24至40，有房或高净值并提交证明；高净值具体金额未明，实际购买者职业收入性格未知。</x:v>
      </x:c>
      <x:c r="D17" s="9" t="str">
        <x:v>线下299元，其余多数199元；页面10月18日排期</x:v>
      </x:c>
      <x:c r="E17" s="9" t="str">
        <x:v>约2小时、20人上限、实名与人脸核验、主持1对1轮换。约10人且结构合适成行，未成行顺延。</x:v>
      </x:c>
      <x:c r="F17" s="9" t="str">
        <x:v>选专场、资料认证、审核、前一天通知、签到、轮换交流、双方自愿再了解。</x:v>
      </x:c>
      <x:c r="G17" s="9" t="str">
        <x:v>官网城市页、小程序二维码。
公开规则详细，但排期已过仍标报名；未取得到场和独立规模证明。</x:v>
      </x:c>
      <x:c r="H17" s="9" t="str">
        <x:v>只用作细分门槛与报名规则样本，不列核心头部。资料详不等于生意好。</x:v>
      </x:c>
      <x:c r="I17" s="9" t="str">
        <x:v>D13</x:v>
      </x:c>
    </x:row>
    <x:row r="18" ht="55" customHeight="1">
      <x:c r="A18" s="10" t="str">
        <x:v>稻草人
旅行社主导</x:v>
      </x:c>
      <x:c r="B18" s="10" t="str">
        <x:v>青年小团队旅行</x:v>
      </x:c>
      <x:c r="C18" s="10" t="str">
        <x:v>当前入口强调青年与小团队；当前逐产品年龄、职业收入限制未取得，不沿用2016或2021报道门槛当现在规则。</x:v>
      </x:c>
      <x:c r="D18" s="10" t="str">
        <x:v>当前具体团期报价待补</x:v>
      </x:c>
      <x:c r="E18" s="10" t="str">
        <x:v>周末短途及城市活动入口；具体线路含项需补。</x:v>
      </x:c>
      <x:c r="F18" s="10" t="str">
        <x:v>产品选择与预订入口可见，当前完整团期与行前交付未核。</x:v>
      </x:c>
      <x:c r="G18" s="10" t="str">
        <x:v>自有网站与品牌社群。
官网目前可访问；本轮尚无当前客量、复购和利润可核。</x:v>
      </x:c>
      <x:c r="H18" s="10" t="str">
        <x:v>放在扩搜候选，不用旧年4万人次和85%推荐冒充当前规模。若取得近期产品与客评可升级深挖。</x:v>
      </x:c>
      <x:c r="I18" s="10" t="str">
        <x:v>D03</x:v>
      </x:c>
    </x:row>
    <x:row r="19" ht="70" customHeight="1">
      <x:c r="A19" s="9" t="str">
        <x:v>Modernist
国外活动参考</x:v>
      </x:c>
      <x:c r="B19" s="9" t="str">
        <x:v>会籍与活动</x:v>
      </x:c>
      <x:c r="C19" s="9" t="str">
        <x:v>旧金山的会员社交俱乐部。会员带来职业、兴趣和生活主题，再在活动里认识朋友。</x:v>
      </x:c>
      <x:c r="D19" s="9" t="str">
        <x:v>会籍现价未公开；会员活动由App预约，非会员需会员在场带入。</x:v>
      </x:c>
      <x:c r="E19" s="9" t="str">
        <x:v>详见收费与活动说明</x:v>
      </x:c>
      <x:c r="F19" s="9" t="str">
        <x:v>会员主理主题、AI交流、音乐和聚会；官网活动混有历史年份。可见申请与带客入口。</x:v>
      </x:c>
      <x:c r="G19" s="9" t="str">
        <x:v>本轮未取得可核的利润及留存数据</x:v>
      </x:c>
      <x:c r="H19" s="9" t="str">
        <x:v>会籍与活动经营提供收入的可能路径；没有公开利润。我们可以用成员分享加餐桌交流启动，暂不租常设会所。缺点是活动质量依赖主理人和成员供给。</x:v>
      </x:c>
      <x:c r="I19" s="9" t="str">
        <x:v>F01</x:v>
      </x:c>
    </x:row>
    <x:row r="20" ht="70" customHeight="1">
      <x:c r="A20" s="10" t="str">
        <x:v>The Supper Club
国外活动参考</x:v>
      </x:c>
      <x:c r="B20" s="10" t="str">
        <x:v>会籍与活动</x:v>
      </x:c>
      <x:c r="C20" s="10" t="str">
        <x:v>跨城市精选餐桌社群，面向愿为策划、同行和省心安排付费的人。</x:v>
      </x:c>
      <x:c r="D20" s="10" t="str">
        <x:v>公开Quattro年费US$2500，本州4次，仅首次申请；不含带客和And Beyond旅行。首次入会费US$750。Explorer年费与权益见官方会员页。</x:v>
      </x:c>
      <x:c r="E20" s="10" t="str">
        <x:v>详见收费与活动说明</x:v>
      </x:c>
      <x:c r="F20" s="10" t="str">
        <x:v>申请入会、选活动、预约参加；不同档位限制次数和地区，旅行资格与旅行付费另看条款。</x:v>
      </x:c>
      <x:c r="G20" s="10" t="str">
        <x:v>本轮未取得可核的利润及留存数据</x:v>
      </x:c>
      <x:c r="H20" s="10" t="str">
        <x:v>可以学“买票到底含几次、在哪参加”及短活动承接旅行。年费和旅行收费是两笔收入，未见利润披露。我们先按次卖，真实复购形成后再设计次数包。</x:v>
      </x:c>
      <x:c r="I20" s="10" t="str">
        <x:v>F02、F03</x:v>
      </x:c>
    </x:row>
    <x:row r="21" ht="55" customHeight="1">
      <x:c r="A21" s="9" t="str">
        <x:v>Parlor
国外活动参考</x:v>
      </x:c>
      <x:c r="B21" s="9" t="str">
        <x:v>会籍与活动</x:v>
      </x:c>
      <x:c r="C21" s="9" t="str">
        <x:v>以活动和兴趣小组连接城市职业人群的轻资产社交组织。</x:v>
      </x:c>
      <x:c r="D21" s="9" t="str">
        <x:v>官方手册区分Standard与Premium；未取得现行完整价表，手册日期不明。</x:v>
      </x:c>
      <x:c r="E21" s="9" t="str">
        <x:v>详见收费与活动说明</x:v>
      </x:c>
      <x:c r="F21" s="9" t="str">
        <x:v>手册展示文化、商业与健康兴趣、线上及线下策划活动、App连接。创作者、职业人士等是品牌目标人群。</x:v>
      </x:c>
      <x:c r="G21" s="9" t="str">
        <x:v>本轮未取得可核的利润及留存数据</x:v>
      </x:c>
      <x:c r="H21" s="9" t="str">
        <x:v>学兴趣分组和外部场地合作。收费靠会籍与具体权益，利润未公开。复制需要持续内容供给、报名管理和合作方；App不能代替线下接待。</x:v>
      </x:c>
      <x:c r="I21" s="9" t="str">
        <x:v>F04</x:v>
      </x:c>
    </x:row>
    <x:row r="22" ht="70" customHeight="1">
      <x:c r="A22" s="10" t="str">
        <x:v>Mandala Club
国外活动参考</x:v>
      </x:c>
      <x:c r="B22" s="10" t="str">
        <x:v>会籍与活动</x:v>
      </x:c>
      <x:c r="C22" s="10" t="str">
        <x:v>在新加坡把餐饮、文化、运动与生活方式结合的会员社区。</x:v>
      </x:c>
      <x:c r="D22" s="10" t="str">
        <x:v>个人、伴侣、30岁以下类型；官网未列完整会费。权益含场地使用、健身康体课程、活动日历、合作酒店优惠等，餐饮消费另查。</x:v>
      </x:c>
      <x:c r="E22" s="10" t="str">
        <x:v>详见收费与活动说明</x:v>
      </x:c>
      <x:c r="F22" s="10" t="str">
        <x:v>有文化日历和申请入口；可借鉴新老成员相聚、朋友推荐朋友、共同运动。实际单场价和到场另查。</x:v>
      </x:c>
      <x:c r="G22" s="10" t="str">
        <x:v>本轮未取得可核的利润及留存数据</x:v>
      </x:c>
      <x:c r="H22" s="10" t="str">
        <x:v>学固定栏目与关系阶段变化后的继续参与。收费来自会籍及相关消费是模式分析，非已核收入拆分。固定空间投入大，我们可以租场复制栏目。</x:v>
      </x:c>
      <x:c r="I22" s="10" t="str">
        <x:v>F05、F06</x:v>
      </x:c>
    </x:row>
    <x:row r="23" ht="70" customHeight="1">
      <x:c r="A23" s="9" t="str">
        <x:v>67 Pall Mall
国外活动参考</x:v>
      </x:c>
      <x:c r="B23" s="9" t="str">
        <x:v>会籍与活动</x:v>
      </x:c>
      <x:c r="C23" s="9" t="str">
        <x:v>以葡萄酒为共同兴趣的会员俱乐部，专业内容是持续相聚的理由。</x:v>
      </x:c>
      <x:c r="D23" s="9" t="str">
        <x:v>新加坡标准年费S$4800 nett，通常入会费S$2000；30岁以下与葡萄酒从业者年费S$2800，Joint年费S$1000，终身S$60000。</x:v>
      </x:c>
      <x:c r="E23" s="9" t="str">
        <x:v>详见收费与活动说明</x:v>
      </x:c>
      <x:c r="F23" s="9" t="str">
        <x:v>会籍提供酒单与空间接触机会；酒品消费、品鉴和旅行按项目核实。官网设67 Trips入口，体现兴趣向旅行延伸。</x:v>
      </x:c>
      <x:c r="G23" s="9" t="str">
        <x:v>本轮未取得可核的利润及留存数据</x:v>
      </x:c>
      <x:c r="H23" s="9" t="str">
        <x:v>学先用一项兴趣建立熟悉，再做酒庄或目的地旅行。收费透明，但不能推导所有活动免费。需要专业老师及供应。实际会员留存和利润未披露。</x:v>
      </x:c>
      <x:c r="I23" s="9" t="str">
        <x:v>F07</x:v>
      </x:c>
    </x:row>
    <x:row r="24" ht="55" customHeight="1">
      <x:c r="A24" s="10" t="str">
        <x:v>The Battery
国外活动参考</x:v>
      </x:c>
      <x:c r="B24" s="10" t="str">
        <x:v>会籍与活动</x:v>
      </x:c>
      <x:c r="C24" s="10" t="str">
        <x:v>旧金山综合会员俱乐部，把单身小组放在更大的兴趣社区里。</x:v>
      </x:c>
      <x:c r="D24" s="10" t="str">
        <x:v>本轮未取得完整现行会费；旧版目录的Singles、Supper Club和Terroir只作组织结构证据。</x:v>
      </x:c>
      <x:c r="E24" s="10" t="str">
        <x:v>详见收费与活动说明</x:v>
      </x:c>
      <x:c r="F24" s="10" t="str">
        <x:v>活动网站与社群入口并存；单身者有专场，日常兴趣和社交可持续参与。当前小组开放状态仍须核实。</x:v>
      </x:c>
      <x:c r="G24" s="10" t="str">
        <x:v>本轮未取得可核的利润及留存数据</x:v>
      </x:c>
      <x:c r="H24" s="10" t="str">
        <x:v>学脱单后仍保留朋友和兴趣活动。我们可分单身与商务学习入口，共享后台。会籍、餐饮等商业逻辑需分开，未取得当前利润。</x:v>
      </x:c>
      <x:c r="I24" s="10" t="str">
        <x:v>F08、F09</x:v>
      </x:c>
    </x:row>
    <x:row r="25" ht="55" customHeight="1">
      <x:c r="A25" s="9" t="str">
        <x:v>Carlyle &amp; Co
国外活动参考</x:v>
      </x:c>
      <x:c r="B25" s="9" t="str">
        <x:v>会籍与活动</x:v>
      </x:c>
      <x:c r="C25" s="9" t="str">
        <x:v>香港的私人成员社区，侧重成员的经历、个性、文化和餐桌交往。</x:v>
      </x:c>
      <x:c r="D25" s="9" t="str">
        <x:v>现行完整会费本轮未取得；旧2025年晚宴价不放入现价比较。</x:v>
      </x:c>
      <x:c r="E25" s="9" t="str">
        <x:v>详见收费与活动说明</x:v>
      </x:c>
      <x:c r="F25" s="9" t="str">
        <x:v>官网明确文化、美食、娱乐和休闲体验。可以据主题与人的兴趣安排介绍，具体内部接待流程未公开。</x:v>
      </x:c>
      <x:c r="G25" s="9" t="str">
        <x:v>本轮未取得可核的利润及留存数据</x:v>
      </x:c>
      <x:c r="H25" s="9" t="str">
        <x:v>学主持人如何了解人、安排座位、适时介绍。会籍及场内消费构成商业逻辑，未公开细分业绩。不能用奢华空间推算客户资产。</x:v>
      </x:c>
      <x:c r="I25" s="9" t="str">
        <x:v>F10</x:v>
      </x:c>
    </x:row>
    <x:row r="26" ht="55" customHeight="1">
      <x:c r="A26" s="10" t="str">
        <x:v>Estelle Community
国外活动参考</x:v>
      </x:c>
      <x:c r="B26" s="10" t="str">
        <x:v>会籍与活动</x:v>
      </x:c>
      <x:c r="C26" s="10" t="str">
        <x:v>把伦敦城市会所与牛津郡乡间庄园连接的会员社区。</x:v>
      </x:c>
      <x:c r="D26" s="10" t="str">
        <x:v>当前官网将Maison Estelle、Celeste、Estelle Manor三处列为社区，未见完整公开会费。住宿餐饮需逐项报价。</x:v>
      </x:c>
      <x:c r="E26" s="10" t="str">
        <x:v>详见收费与活动说明</x:v>
      </x:c>
      <x:c r="F26" s="10" t="str">
        <x:v>城市会面与乡间度假形成空间延伸；官网提供申请、住宿和餐饮入口。我们的可复制部分是先同城相识，再短途同行。</x:v>
      </x:c>
      <x:c r="G26" s="10" t="str">
        <x:v>本轮未取得可核的利润及留存数据</x:v>
      </x:c>
      <x:c r="H26" s="10" t="str">
        <x:v>学分步增加相处时间与旅行购买。三处空间联动是产品事实，会员转化比例与利润未知。我们需要可重复合作的酒店和交通，不承担庄园资产。</x:v>
      </x:c>
      <x:c r="I26" s="10" t="str">
        <x:v>F11</x:v>
      </x:c>
    </x:row>
    <x:row r="27" ht="55" customHeight="1">
      <x:c r="A27" s="9" t="str">
        <x:v>The Arts Club
国外活动参考</x:v>
      </x:c>
      <x:c r="B27" s="9" t="str">
        <x:v>会籍与活动</x:v>
      </x:c>
      <x:c r="C27" s="9" t="str">
        <x:v>伦敦以艺术文化、餐饮和交流为核心的会员俱乐部。</x:v>
      </x:c>
      <x:c r="D27" s="9" t="str">
        <x:v>33岁及以上年费£3200，评审费£1600；同住配偶或伴侣年费£1400免评审费；33岁以下年费£1500、评审费£500。</x:v>
      </x:c>
      <x:c r="E27" s="9" t="str">
        <x:v>详见收费与活动说明</x:v>
      </x:c>
      <x:c r="F27" s="9" t="str">
        <x:v>同住伴侣有完整使用权，文化项目包括早餐谈话、画廊参访及雪茄晚宴；具体消费按菜单活动规则。</x:v>
      </x:c>
      <x:c r="G27" s="9" t="str">
        <x:v>本轮未取得可核的利润及留存数据</x:v>
      </x:c>
      <x:c r="H27" s="9" t="str">
        <x:v>学按伴侣和年龄扩展留存，产品权利写清。启动阶段适合借一场画廊参访或老师晚宴，不照搬会费。当前会员数与利润未公开。</x:v>
      </x:c>
      <x:c r="I27" s="9" t="str">
        <x:v>F12、F13</x:v>
      </x:c>
    </x:row>
  </x:sheetData>
  <x:hyperlinks>
    <x:hyperlink xmlns:ns1="http://schemas.openxmlformats.org/officeDocument/2006/relationships" ref="I6" ns1:id="rIdResearch1"/>
    <x:hyperlink xmlns:ns2="http://schemas.openxmlformats.org/officeDocument/2006/relationships" ref="I7" ns2:id="rIdResearch2"/>
    <x:hyperlink xmlns:ns3="http://schemas.openxmlformats.org/officeDocument/2006/relationships" ref="I8" ns3:id="rIdResearch3"/>
    <x:hyperlink xmlns:ns4="http://schemas.openxmlformats.org/officeDocument/2006/relationships" ref="I9" ns4:id="rIdResearch4"/>
    <x:hyperlink xmlns:ns5="http://schemas.openxmlformats.org/officeDocument/2006/relationships" ref="I10" ns5:id="rIdResearch5"/>
    <x:hyperlink xmlns:ns6="http://schemas.openxmlformats.org/officeDocument/2006/relationships" ref="I12" ns6:id="rIdResearch6"/>
    <x:hyperlink xmlns:ns7="http://schemas.openxmlformats.org/officeDocument/2006/relationships" ref="I13" ns7:id="rIdResearch7"/>
    <x:hyperlink xmlns:ns8="http://schemas.openxmlformats.org/officeDocument/2006/relationships" ref="I14" ns8:id="rIdResearch8"/>
    <x:hyperlink xmlns:ns9="http://schemas.openxmlformats.org/officeDocument/2006/relationships" ref="I15" ns9:id="rIdResearch9"/>
    <x:hyperlink xmlns:ns10="http://schemas.openxmlformats.org/officeDocument/2006/relationships" ref="I16" ns10:id="rIdResearch10"/>
    <x:hyperlink xmlns:ns11="http://schemas.openxmlformats.org/officeDocument/2006/relationships" ref="I17" ns11:id="rIdResearch11"/>
    <x:hyperlink xmlns:ns12="http://schemas.openxmlformats.org/officeDocument/2006/relationships" ref="I18" ns12:id="rIdResearch12"/>
    <x:hyperlink xmlns:ns13="http://schemas.openxmlformats.org/officeDocument/2006/relationships" ref="I19" ns13:id="rIdResearch13"/>
    <x:hyperlink xmlns:ns14="http://schemas.openxmlformats.org/officeDocument/2006/relationships" ref="I20" ns14:id="rIdResearch14"/>
    <x:hyperlink xmlns:ns15="http://schemas.openxmlformats.org/officeDocument/2006/relationships" ref="I21" ns15:id="rIdResearch15"/>
    <x:hyperlink xmlns:ns16="http://schemas.openxmlformats.org/officeDocument/2006/relationships" ref="I22" ns16:id="rIdResearch16"/>
    <x:hyperlink xmlns:ns17="http://schemas.openxmlformats.org/officeDocument/2006/relationships" ref="I23" ns17:id="rIdResearch17"/>
    <x:hyperlink xmlns:ns18="http://schemas.openxmlformats.org/officeDocument/2006/relationships" ref="I24" ns18:id="rIdResearch18"/>
    <x:hyperlink xmlns:ns19="http://schemas.openxmlformats.org/officeDocument/2006/relationships" ref="I25" ns19:id="rIdResearch19"/>
    <x:hyperlink xmlns:ns20="http://schemas.openxmlformats.org/officeDocument/2006/relationships" ref="I26" ns20:id="rIdResearch20"/>
    <x:hyperlink xmlns:ns21="http://schemas.openxmlformats.org/officeDocument/2006/relationships" ref="I27" ns21:id="rIdResearch21"/>
  </x:hyperlinks>
  <x:pageMargins left="0.7" right="0.7" top="0.75" bottom="0.75" header="0.3" footer="0.3"/>
  <x:tableParts count="1">
    <x:tablePart xmlns:r="http://schemas.openxmlformats.org/officeDocument/2006/relationships" r:id="R396e01e1a09641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25" hidden="0" customWidth="1"/>
    <x:col min="3" max="3" width="58" hidden="0" customWidth="1"/>
    <x:col min="4" max="4" width="28" hidden="0" customWidth="1"/>
    <x:col min="5" max="5" width="18" hidden="0" customWidth="1"/>
    <x:col min="6" max="6" width="12" hidden="0" customWidth="1"/>
    <x:col min="7" max="7" width="20" hidden="0" customWidth="1"/>
    <x:col min="8" max="8" width="53" hidden="0" customWidth="1"/>
    <x:col min="9" max="9" width="28" hidden="0" customWidth="1"/>
    <x:col min="10" max="10" width="25" hidden="0" customWidth="1"/>
    <x:col min="11" max="11" width="3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同线路费用与询价条件</x:v>
      </x:c>
      <x:c r="B2" s="2"/>
      <x:c r="C2" s="2"/>
      <x:c r="D2" s="2"/>
      <x:c r="E2" s="2"/>
      <x:c r="F2" s="2"/>
      <x:c r="G2" s="2"/>
      <x:c r="H2" s="2"/>
    </x:row>
    <x:row r="3">
      <x:c r="A3" s="2" t="str">
        <x:v>研究用日期，不是已确认排期；以下均为规划假设，未取得相同日期的三方成交报价。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34" customHeight="1">
      <x:c r="A5" s="7" t="str">
        <x:v>线路</x:v>
      </x:c>
      <x:c r="B5" s="7" t="str">
        <x:v>研究日期</x:v>
      </x:c>
      <x:c r="C5" s="7" t="str">
        <x:v>统一条件</x:v>
      </x:c>
      <x:c r="D5" s="7" t="str">
        <x:v>成本项目</x:v>
      </x:c>
      <x:c r="E5" s="7" t="str">
        <x:v>单价 元</x:v>
      </x:c>
      <x:c r="F5" s="7" t="str">
        <x:v>数量</x:v>
      </x:c>
      <x:c r="G5" s="7" t="str">
        <x:v>人均金额 元</x:v>
      </x:c>
      <x:c r="H5" s="7" t="str">
        <x:v>价格状态</x:v>
      </x:c>
      <x:c r="I5" s="17" t="str">
        <x:v>供应商或自订渠道</x:v>
      </x:c>
      <x:c r="J5" s="17" t="str">
        <x:v>同口径单价 元</x:v>
      </x:c>
      <x:c r="K5" s="17" t="str">
        <x:v>有效日期及条件</x:v>
      </x:c>
    </x:row>
    <x:row r="6" ht="35" customHeight="1">
      <x:c r="A6" s="10" t="str">
        <x:v>三亚</x:v>
      </x:c>
      <x:c r="B6" s="10" t="str">
        <x:v>2026-11-19至11-22</x:v>
      </x:c>
      <x:c r="C6" s="10" t="str">
        <x:v>四天三晚，16人，三亚当地集合，每人独住基础房</x:v>
      </x:c>
      <x:c r="D6" s="10" t="str">
        <x:v>酒店每房晚</x:v>
      </x:c>
      <x:c r="E6" s="13" t="n">
        <x:v>1500</x:v>
      </x:c>
      <x:c r="F6" s="13" t="n">
        <x:v>3</x:v>
      </x:c>
      <x:c r="G6" s="11" t="n">
        <x:f>E6*F6</x:f>
        <x:v>4500</x:v>
      </x:c>
      <x:c r="H6" s="10" t="str">
        <x:v>规划假设；酒店报价待补</x:v>
      </x:c>
      <x:c r="I6" s="18"/>
      <x:c r="J6" s="19"/>
      <x:c r="K6" s="18"/>
    </x:row>
    <x:row r="7" ht="35" customHeight="1">
      <x:c r="A7" s="9" t="str">
        <x:v>三亚</x:v>
      </x:c>
      <x:c r="B7" s="9" t="str">
        <x:v>同上</x:v>
      </x:c>
      <x:c r="C7" s="9" t="str">
        <x:v>同上</x:v>
      </x:c>
      <x:c r="D7" s="9" t="str">
        <x:v>餐饮每人全程</x:v>
      </x:c>
      <x:c r="E7" s="14" t="n">
        <x:v>1600</x:v>
      </x:c>
      <x:c r="F7" s="14" t="n">
        <x:v>1</x:v>
      </x:c>
      <x:c r="G7" s="12" t="n">
        <x:f>E7*F7</x:f>
        <x:v>1600</x:v>
      </x:c>
      <x:c r="H7" s="9" t="str">
        <x:v>规划假设；含早餐归属需与酒店核对</x:v>
      </x:c>
      <x:c r="I7" s="18"/>
      <x:c r="J7" s="19"/>
      <x:c r="K7" s="18"/>
    </x:row>
    <x:row r="8" ht="35" customHeight="1">
      <x:c r="A8" s="10" t="str">
        <x:v>三亚</x:v>
      </x:c>
      <x:c r="B8" s="10" t="str">
        <x:v>同上</x:v>
      </x:c>
      <x:c r="C8" s="10" t="str">
        <x:v>同上</x:v>
      </x:c>
      <x:c r="D8" s="10" t="str">
        <x:v>体验门票每人</x:v>
      </x:c>
      <x:c r="E8" s="13" t="n">
        <x:v>1100</x:v>
      </x:c>
      <x:c r="F8" s="13" t="n">
        <x:v>1</x:v>
      </x:c>
      <x:c r="G8" s="11" t="n">
        <x:f>E8*F8</x:f>
        <x:v>1100</x:v>
      </x:c>
      <x:c r="H8" s="10" t="str">
        <x:v>规划假设</x:v>
      </x:c>
      <x:c r="I8" s="18"/>
      <x:c r="J8" s="19"/>
      <x:c r="K8" s="18"/>
    </x:row>
    <x:row r="9" ht="35" customHeight="1">
      <x:c r="A9" s="9" t="str">
        <x:v>三亚</x:v>
      </x:c>
      <x:c r="B9" s="9" t="str">
        <x:v>同上</x:v>
      </x:c>
      <x:c r="C9" s="9" t="str">
        <x:v>同上</x:v>
      </x:c>
      <x:c r="D9" s="9" t="str">
        <x:v>当地交通每人分摊</x:v>
      </x:c>
      <x:c r="E9" s="14" t="n">
        <x:v>700</x:v>
      </x:c>
      <x:c r="F9" s="14" t="n">
        <x:v>1</x:v>
      </x:c>
      <x:c r="G9" s="12" t="n">
        <x:f>E9*F9</x:f>
        <x:v>700</x:v>
      </x:c>
      <x:c r="H9" s="9" t="str">
        <x:v>规划假设；固定包车报价取得后重分类</x:v>
      </x:c>
      <x:c r="I9" s="18"/>
      <x:c r="J9" s="19"/>
      <x:c r="K9" s="18"/>
    </x:row>
    <x:row r="10" ht="35" customHeight="1">
      <x:c r="A10" s="10" t="str">
        <x:v>三亚</x:v>
      </x:c>
      <x:c r="B10" s="10" t="str">
        <x:v>同上</x:v>
      </x:c>
      <x:c r="C10" s="10" t="str">
        <x:v>同上</x:v>
      </x:c>
      <x:c r="D10" s="10" t="str">
        <x:v>保险与物料每人</x:v>
      </x:c>
      <x:c r="E10" s="13" t="n">
        <x:v>300</x:v>
      </x:c>
      <x:c r="F10" s="13" t="n">
        <x:v>1</x:v>
      </x:c>
      <x:c r="G10" s="11" t="n">
        <x:f>E10*F10</x:f>
        <x:v>300</x:v>
      </x:c>
      <x:c r="H10" s="10" t="str">
        <x:v>规划假设</x:v>
      </x:c>
      <x:c r="I10" s="18"/>
      <x:c r="J10" s="19"/>
      <x:c r="K10" s="18"/>
    </x:row>
    <x:row r="11" ht="35" customHeight="1">
      <x:c r="A11" s="9" t="str">
        <x:v>三亚</x:v>
      </x:c>
      <x:c r="B11" s="9" t="str">
        <x:v>同上</x:v>
      </x:c>
      <x:c r="C11" s="9" t="str">
        <x:v>同上</x:v>
      </x:c>
      <x:c r="D11" s="9" t="str">
        <x:v>服务协调每人</x:v>
      </x:c>
      <x:c r="E11" s="14" t="n">
        <x:v>500</x:v>
      </x:c>
      <x:c r="F11" s="14" t="n">
        <x:v>1</x:v>
      </x:c>
      <x:c r="G11" s="12" t="n">
        <x:f>E11*F11</x:f>
        <x:v>500</x:v>
      </x:c>
      <x:c r="H11" s="9" t="str">
        <x:v>规划假设；使单人直接交付预算合计8700元</x:v>
      </x:c>
      <x:c r="I11" s="18"/>
      <x:c r="J11" s="19"/>
      <x:c r="K11" s="18"/>
    </x:row>
    <x:row r="12" ht="35" customHeight="1">
      <x:c r="A12" s="10" t="str">
        <x:v>三亚</x:v>
      </x:c>
      <x:c r="B12" s="10" t="str">
        <x:v>同上</x:v>
      </x:c>
      <x:c r="C12" s="10" t="str">
        <x:v>北京往返，机票自理</x:v>
      </x:c>
      <x:c r="D12" s="10" t="str">
        <x:v>往返机票每人情景</x:v>
      </x:c>
      <x:c r="E12" s="13" t="n">
        <x:v>2500</x:v>
      </x:c>
      <x:c r="F12" s="13" t="n">
        <x:v>1</x:v>
      </x:c>
      <x:c r="G12" s="11" t="n">
        <x:f>E12*F12</x:f>
        <x:v>2500</x:v>
      </x:c>
      <x:c r="H12" s="10" t="str">
        <x:v>非实时报价，不计入旅行收入及交付成本</x:v>
      </x:c>
      <x:c r="I12" s="18"/>
      <x:c r="J12" s="19"/>
      <x:c r="K12" s="18"/>
    </x:row>
    <x:row r="13" ht="35" customHeight="1">
      <x:c r="A13" s="9" t="str">
        <x:v>北京周边</x:v>
      </x:c>
      <x:c r="B13" s="9" t="str">
        <x:v>2026-11-14至11-15</x:v>
      </x:c>
      <x:c r="C13" s="9" t="str">
        <x:v>两天一晚，16人，同一档度假酒店，每人独住</x:v>
      </x:c>
      <x:c r="D13" s="9" t="str">
        <x:v>酒店每房晚</x:v>
      </x:c>
      <x:c r="E13" s="14" t="n">
        <x:v>1200</x:v>
      </x:c>
      <x:c r="F13" s="14" t="n">
        <x:v>1</x:v>
      </x:c>
      <x:c r="G13" s="12" t="n">
        <x:f>E13*F13</x:f>
        <x:v>1200</x:v>
      </x:c>
      <x:c r="H13" s="9" t="str">
        <x:v>比较研究假设，不是第二条首发产品</x:v>
      </x:c>
      <x:c r="I13" s="18"/>
      <x:c r="J13" s="19"/>
      <x:c r="K13" s="18"/>
    </x:row>
    <x:row r="14" ht="35" customHeight="1">
      <x:c r="A14" s="10" t="str">
        <x:v>北京周边</x:v>
      </x:c>
      <x:c r="B14" s="10" t="str">
        <x:v>同上</x:v>
      </x:c>
      <x:c r="C14" s="10" t="str">
        <x:v>同上</x:v>
      </x:c>
      <x:c r="D14" s="10" t="str">
        <x:v>餐饮每人全程</x:v>
      </x:c>
      <x:c r="E14" s="13" t="n">
        <x:v>700</x:v>
      </x:c>
      <x:c r="F14" s="13" t="n">
        <x:v>1</x:v>
      </x:c>
      <x:c r="G14" s="11" t="n">
        <x:f>E14*F14</x:f>
        <x:v>700</x:v>
      </x:c>
      <x:c r="H14" s="10" t="str">
        <x:v>规划假设</x:v>
      </x:c>
      <x:c r="I14" s="18"/>
      <x:c r="J14" s="19"/>
      <x:c r="K14" s="18"/>
    </x:row>
    <x:row r="15" ht="35" customHeight="1">
      <x:c r="A15" s="9" t="str">
        <x:v>北京周边</x:v>
      </x:c>
      <x:c r="B15" s="9" t="str">
        <x:v>同上</x:v>
      </x:c>
      <x:c r="C15" s="9" t="str">
        <x:v>同上</x:v>
      </x:c>
      <x:c r="D15" s="9" t="str">
        <x:v>体验门票每人</x:v>
      </x:c>
      <x:c r="E15" s="14" t="n">
        <x:v>500</x:v>
      </x:c>
      <x:c r="F15" s="14" t="n">
        <x:v>1</x:v>
      </x:c>
      <x:c r="G15" s="12" t="n">
        <x:f>E15*F15</x:f>
        <x:v>500</x:v>
      </x:c>
      <x:c r="H15" s="9" t="str">
        <x:v>规划假设</x:v>
      </x:c>
      <x:c r="I15" s="18"/>
      <x:c r="J15" s="19"/>
      <x:c r="K15" s="18"/>
    </x:row>
    <x:row r="16" ht="35" customHeight="1">
      <x:c r="A16" s="10" t="str">
        <x:v>北京周边</x:v>
      </x:c>
      <x:c r="B16" s="10" t="str">
        <x:v>同上</x:v>
      </x:c>
      <x:c r="C16" s="10" t="str">
        <x:v>同上</x:v>
      </x:c>
      <x:c r="D16" s="10" t="str">
        <x:v>当地交通每人分摊</x:v>
      </x:c>
      <x:c r="E16" s="13" t="n">
        <x:v>350</x:v>
      </x:c>
      <x:c r="F16" s="13" t="n">
        <x:v>1</x:v>
      </x:c>
      <x:c r="G16" s="11" t="n">
        <x:f>E16*F16</x:f>
        <x:v>350</x:v>
      </x:c>
      <x:c r="H16" s="10" t="str">
        <x:v>规划假设</x:v>
      </x:c>
      <x:c r="I16" s="18"/>
      <x:c r="J16" s="19"/>
      <x:c r="K16" s="18"/>
    </x:row>
    <x:row r="17" ht="35" customHeight="1">
      <x:c r="A17" s="9" t="str">
        <x:v>北京周边</x:v>
      </x:c>
      <x:c r="B17" s="9" t="str">
        <x:v>同上</x:v>
      </x:c>
      <x:c r="C17" s="9" t="str">
        <x:v>同上</x:v>
      </x:c>
      <x:c r="D17" s="9" t="str">
        <x:v>保险与物料每人</x:v>
      </x:c>
      <x:c r="E17" s="14" t="n">
        <x:v>150</x:v>
      </x:c>
      <x:c r="F17" s="14" t="n">
        <x:v>1</x:v>
      </x:c>
      <x:c r="G17" s="12" t="n">
        <x:f>E17*F17</x:f>
        <x:v>150</x:v>
      </x:c>
      <x:c r="H17" s="9" t="str">
        <x:v>规划假设</x:v>
      </x:c>
      <x:c r="I17" s="18"/>
      <x:c r="J17" s="19"/>
      <x:c r="K17" s="18"/>
    </x:row>
    <x:row r="21">
      <x:c r="A21" s="16" t="str">
        <x:v>路线</x:v>
      </x:c>
      <x:c r="B21" s="16" t="str">
        <x:v>单身社交团</x:v>
      </x:c>
      <x:c r="C21" s="16" t="str">
        <x:v>精品私家团</x:v>
      </x:c>
      <x:c r="D21" s="16" t="str">
        <x:v>自行预订</x:v>
      </x:c>
    </x:row>
    <x:row r="22" ht="55" customHeight="1">
      <x:c r="A22" s="20" t="str">
        <x:v>三亚四天三晚</x:v>
      </x:c>
      <x:c r="B22" s="20" t="str">
        <x:v>产品试价19800；机票自理</x:v>
      </x:c>
      <x:c r="C22" s="20" t="str">
        <x:v>同口径报价未取得</x:v>
      </x:c>
      <x:c r="D22" s="20" t="str">
        <x:v>机酒等实时价格未取得</x:v>
      </x:c>
    </x:row>
    <x:row r="23" ht="55" customHeight="1">
      <x:c r="A23" s="20" t="str">
        <x:v>北京周边两天一晚</x:v>
      </x:c>
      <x:c r="B23" s="20" t="str">
        <x:v>仅研究方向，未设首发售价</x:v>
      </x:c>
      <x:c r="C23" s="20" t="str">
        <x:v>同口径报价未取得</x:v>
      </x:c>
      <x:c r="D23" s="20" t="str">
        <x:v>同口径价格未取得</x:v>
      </x:c>
    </x:row>
  </x:sheetData>
  <x:pageMargins left="0.7" right="0.7" top="0.75" bottom="0.75" header="0.3" footer="0.3"/>
  <x:tableParts count="1">
    <x:tablePart xmlns:r="http://schemas.openxmlformats.org/officeDocument/2006/relationships" r:id="Rba91efa91f194c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4" hidden="0" customWidth="1"/>
    <x:col min="4" max="4" width="24" hidden="0" customWidth="1"/>
    <x:col min="5" max="5" width="3" hidden="0" customWidth="1"/>
    <x:col min="6" max="6" width="35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</x:row>
    <x:row r="2" ht="34" customHeight="1">
      <x:c r="A2" s="3" t="str">
        <x:v>首发产品与单次经营测算</x:v>
      </x:c>
      <x:c r="B2" s="2"/>
      <x:c r="C2" s="2"/>
      <x:c r="D2" s="2"/>
      <x:c r="E2" s="2"/>
      <x:c r="F2" s="2"/>
      <x:c r="G2" s="2"/>
      <x:c r="H2" s="2"/>
    </x:row>
    <x:row r="3">
      <x:c r="A3" s="2" t="str">
        <x:v>规划基准，可修改蓝字输入；成本与试价未获供应商或客户确认。</x:v>
      </x:c>
      <x:c r="B3" s="2"/>
      <x:c r="C3" s="2"/>
      <x:c r="D3" s="2"/>
      <x:c r="E3" s="2"/>
      <x:c r="F3" s="2"/>
      <x:c r="G3" s="2"/>
      <x:c r="H3" s="2"/>
    </x:row>
    <x:row r="4">
      <x:c r="A4" s="2"/>
      <x:c r="B4" s="2"/>
      <x:c r="C4" s="2"/>
      <x:c r="D4" s="2"/>
      <x:c r="E4" s="2"/>
      <x:c r="F4" s="2"/>
      <x:c r="G4" s="2"/>
      <x:c r="H4" s="2"/>
    </x:row>
    <x:row r="5" ht="42" customHeight="1">
      <x:c r="A5" s="6" t="str">
        <x:v>项目</x:v>
      </x:c>
      <x:c r="B5" s="6" t="str">
        <x:v>北京单身主题晚宴</x:v>
      </x:c>
      <x:c r="C5" s="6" t="str">
        <x:v>北京经营者主题分享会</x:v>
      </x:c>
      <x:c r="D5" s="6" t="str">
        <x:v>三亚四天三晚单身小团</x:v>
      </x:c>
      <x:c r="E5" s="2"/>
      <x:c r="F5" s="2" t="str">
        <x:v>固定成本构成</x:v>
      </x:c>
      <x:c r="G5" s="2"/>
      <x:c r="H5" s="2"/>
    </x:row>
    <x:row r="6" ht="26" customHeight="1">
      <x:c r="A6" s="2" t="str">
        <x:v>试价 元／人</x:v>
      </x:c>
      <x:c r="B6" s="23" t="n">
        <x:v>1680</x:v>
      </x:c>
      <x:c r="C6" s="23" t="n">
        <x:v>680</x:v>
      </x:c>
      <x:c r="D6" s="23" t="n">
        <x:v>19800</x:v>
      </x:c>
      <x:c r="E6" s="2"/>
      <x:c r="F6" s="8" t="str">
        <x:v>产品</x:v>
      </x:c>
      <x:c r="G6" s="8" t="str">
        <x:v>元</x:v>
      </x:c>
      <x:c r="H6" s="2"/>
    </x:row>
    <x:row r="7" ht="26" customHeight="1">
      <x:c r="A7" s="2" t="str">
        <x:v>付费人数</x:v>
      </x:c>
      <x:c r="B7" s="23" t="n">
        <x:v>20</x:v>
      </x:c>
      <x:c r="C7" s="23" t="n">
        <x:v>24</x:v>
      </x:c>
      <x:c r="D7" s="23" t="n">
        <x:v>14</x:v>
      </x:c>
      <x:c r="E7" s="2"/>
      <x:c r="F7" s="8" t="str">
        <x:v>晚宴工时70×100及场地1500</x:v>
      </x:c>
      <x:c r="G7" s="8" t="n">
        <x:v>8500</x:v>
      </x:c>
      <x:c r="H7" s="2"/>
    </x:row>
    <x:row r="8" ht="26" customHeight="1">
      <x:c r="A8" s="2" t="str">
        <x:v>人数上限</x:v>
      </x:c>
      <x:c r="B8" s="23" t="n">
        <x:v>24</x:v>
      </x:c>
      <x:c r="C8" s="23" t="n">
        <x:v>30</x:v>
      </x:c>
      <x:c r="D8" s="23" t="n">
        <x:v>16</x:v>
      </x:c>
      <x:c r="E8" s="2"/>
      <x:c r="F8" s="8" t="str">
        <x:v>分享工时52×100、讲师2000及场地800</x:v>
      </x:c>
      <x:c r="G8" s="8" t="n">
        <x:v>8000</x:v>
      </x:c>
      <x:c r="H8" s="2"/>
    </x:row>
    <x:row r="9" ht="26" customHeight="1">
      <x:c r="A9" s="2" t="str">
        <x:v>单人直接交付成本</x:v>
      </x:c>
      <x:c r="B9" s="23" t="n">
        <x:v>550</x:v>
      </x:c>
      <x:c r="C9" s="23" t="n">
        <x:v>160</x:v>
      </x:c>
      <x:c r="D9" s="27" t="n">
        <x:f>SUM('同线路费用'!G6:G11)</x:f>
        <x:v>8700</x:v>
      </x:c>
      <x:c r="E9" s="2"/>
      <x:c r="F9" s="8" t="str">
        <x:v>旅行工时190×150、团队机酒10500、场地5000与器材4000</x:v>
      </x:c>
      <x:c r="G9" s="8" t="n">
        <x:v>48000</x:v>
      </x:c>
      <x:c r="H9" s="2"/>
    </x:row>
    <x:row r="10" ht="26" customHeight="1">
      <x:c r="A10" s="2" t="str">
        <x:v>单人获客预算</x:v>
      </x:c>
      <x:c r="B10" s="23" t="n">
        <x:v>180</x:v>
      </x:c>
      <x:c r="C10" s="23" t="n">
        <x:v>100</x:v>
      </x:c>
      <x:c r="D10" s="23" t="n">
        <x:v>1200</x:v>
      </x:c>
      <x:c r="E10" s="2"/>
      <x:c r="F10" s="2"/>
      <x:c r="G10" s="2"/>
      <x:c r="H10" s="2"/>
    </x:row>
    <x:row r="11" ht="26" customHeight="1">
      <x:c r="A11" s="2" t="str">
        <x:v>固定交付及工时成本</x:v>
      </x:c>
      <x:c r="B11" s="23" t="n">
        <x:v>8500</x:v>
      </x:c>
      <x:c r="C11" s="23" t="n">
        <x:v>8000</x:v>
      </x:c>
      <x:c r="D11" s="23" t="n">
        <x:v>48000</x:v>
      </x:c>
      <x:c r="E11" s="2"/>
      <x:c r="F11" s="2"/>
      <x:c r="G11" s="2"/>
      <x:c r="H11" s="2"/>
    </x:row>
    <x:row r="12" ht="26" customHeight="1">
      <x:c r="A12" s="2" t="str">
        <x:v>退款金额占收款比例</x:v>
      </x:c>
      <x:c r="B12" s="25" t="n">
        <x:v>0.03</x:v>
      </x:c>
      <x:c r="C12" s="25" t="n">
        <x:v>0.03</x:v>
      </x:c>
      <x:c r="D12" s="25" t="n">
        <x:v>0.03</x:v>
      </x:c>
      <x:c r="E12" s="2"/>
      <x:c r="F12" s="2" t="str">
        <x:v>现金口径</x:v>
      </x:c>
      <x:c r="G12" s="2"/>
      <x:c r="H12" s="2"/>
    </x:row>
    <x:row r="13" ht="26" customHeight="1">
      <x:c r="A13" s="2" t="str">
        <x:v>筹备现场回访总工时</x:v>
      </x:c>
      <x:c r="B13" s="23" t="n">
        <x:v>70</x:v>
      </x:c>
      <x:c r="C13" s="23" t="n">
        <x:v>52</x:v>
      </x:c>
      <x:c r="D13" s="23" t="n">
        <x:v>190</x:v>
      </x:c>
      <x:c r="E13" s="2"/>
      <x:c r="F13" s="9" t="str">
        <x:v>收款前先付40%固定成本及全部获客；首款到账后付70%直接成本并结清其余固定成本；尾款后结清。退款比例仅为情景，按全部交付成本已发生保守计算。</x:v>
      </x:c>
      <x:c r="G13" s="9"/>
      <x:c r="H13" s="9"/>
    </x:row>
    <x:row r="14" ht="26" customHeight="1">
      <x:c r="A14" s="2"/>
      <x:c r="B14" s="24"/>
      <x:c r="C14" s="24"/>
      <x:c r="D14" s="24"/>
      <x:c r="E14" s="2"/>
      <x:c r="F14" s="9"/>
      <x:c r="G14" s="9"/>
      <x:c r="H14" s="9"/>
    </x:row>
    <x:row r="15" ht="26" customHeight="1">
      <x:c r="A15" s="2" t="str">
        <x:v>含退款前销售额</x:v>
      </x:c>
      <x:c r="B15" s="24" t="n">
        <x:f>B6*B7</x:f>
        <x:v>33600</x:v>
      </x:c>
      <x:c r="C15" s="24" t="n">
        <x:f>C6*C7</x:f>
        <x:v>16320</x:v>
      </x:c>
      <x:c r="D15" s="24" t="n">
        <x:f>D6*D7</x:f>
        <x:v>277200</x:v>
      </x:c>
      <x:c r="E15" s="2"/>
      <x:c r="F15" s="9"/>
      <x:c r="G15" s="9"/>
      <x:c r="H15" s="9"/>
    </x:row>
    <x:row r="16" ht="26" customHeight="1">
      <x:c r="A16" s="2" t="str">
        <x:v>退款情景金额</x:v>
      </x:c>
      <x:c r="B16" s="24" t="n">
        <x:f>B15*B12</x:f>
        <x:v>1008</x:v>
      </x:c>
      <x:c r="C16" s="24" t="n">
        <x:f>C15*C12</x:f>
        <x:v>489.59999999999997</x:v>
      </x:c>
      <x:c r="D16" s="24" t="n">
        <x:f>D15*D12</x:f>
        <x:v>8316</x:v>
      </x:c>
      <x:c r="E16" s="2"/>
      <x:c r="F16" s="9"/>
      <x:c r="G16" s="9"/>
      <x:c r="H16" s="9"/>
    </x:row>
    <x:row r="17" ht="26" customHeight="1">
      <x:c r="A17" s="30" t="str">
        <x:v>扣退款后收入</x:v>
      </x:c>
      <x:c r="B17" s="31" t="n">
        <x:f>B15-B16</x:f>
        <x:v>32592</x:v>
      </x:c>
      <x:c r="C17" s="31" t="n">
        <x:f>C15-C16</x:f>
        <x:v>15830.4</x:v>
      </x:c>
      <x:c r="D17" s="31" t="n">
        <x:f>D15-D16</x:f>
        <x:v>268884</x:v>
      </x:c>
      <x:c r="E17" s="2"/>
      <x:c r="F17" s="9"/>
      <x:c r="G17" s="9"/>
      <x:c r="H17" s="9"/>
    </x:row>
    <x:row r="18" ht="26" customHeight="1">
      <x:c r="A18" s="2" t="str">
        <x:v>直接交付成本</x:v>
      </x:c>
      <x:c r="B18" s="24" t="n">
        <x:f>B7*B9</x:f>
        <x:v>11000</x:v>
      </x:c>
      <x:c r="C18" s="24" t="n">
        <x:f>C7*C9</x:f>
        <x:v>3840</x:v>
      </x:c>
      <x:c r="D18" s="24" t="n">
        <x:f>D7*D9</x:f>
        <x:v>121800</x:v>
      </x:c>
      <x:c r="E18" s="2"/>
      <x:c r="F18" s="2"/>
      <x:c r="G18" s="2"/>
      <x:c r="H18" s="2"/>
    </x:row>
    <x:row r="19" ht="26" customHeight="1">
      <x:c r="A19" s="2" t="str">
        <x:v>获客支出</x:v>
      </x:c>
      <x:c r="B19" s="24" t="n">
        <x:f>B7*B10</x:f>
        <x:v>3600</x:v>
      </x:c>
      <x:c r="C19" s="24" t="n">
        <x:f>C7*C10</x:f>
        <x:v>2400</x:v>
      </x:c>
      <x:c r="D19" s="24" t="n">
        <x:f>D7*D10</x:f>
        <x:v>16800</x:v>
      </x:c>
      <x:c r="E19" s="2"/>
      <x:c r="F19" s="2"/>
      <x:c r="G19" s="2"/>
      <x:c r="H19" s="2"/>
    </x:row>
    <x:row r="20" ht="26" customHeight="1">
      <x:c r="A20" s="2" t="str">
        <x:v>固定交付及工时成本</x:v>
      </x:c>
      <x:c r="B20" s="24" t="n">
        <x:f>B11</x:f>
        <x:v>8500</x:v>
      </x:c>
      <x:c r="C20" s="24" t="n">
        <x:f>C11</x:f>
        <x:v>8000</x:v>
      </x:c>
      <x:c r="D20" s="24" t="n">
        <x:f>D11</x:f>
        <x:v>48000</x:v>
      </x:c>
      <x:c r="E20" s="2"/>
      <x:c r="F20" s="2" t="str">
        <x:v>贡献不是公司净利润</x:v>
      </x:c>
      <x:c r="G20" s="2"/>
      <x:c r="H20" s="2"/>
    </x:row>
    <x:row r="21" ht="26" customHeight="1">
      <x:c r="A21" s="30" t="str">
        <x:v>单次贡献</x:v>
      </x:c>
      <x:c r="B21" s="31" t="n">
        <x:f>B17-SUM(B18:B20)</x:f>
        <x:v>9492</x:v>
      </x:c>
      <x:c r="C21" s="31" t="n">
        <x:f>C17-SUM(C18:C20)</x:f>
        <x:v>1590.3999999999996</x:v>
      </x:c>
      <x:c r="D21" s="31" t="n">
        <x:f>D17-SUM(D18:D20)</x:f>
        <x:v>82284</x:v>
      </x:c>
      <x:c r="E21" s="2"/>
      <x:c r="F21" s="9" t="str">
        <x:v>已含项目工时机会成本与获客预算，未计公司日常固定开支、税费及未售出活动的研发投入。旅行19800为研究试价，尚无愿付证明。</x:v>
      </x:c>
      <x:c r="G21" s="9"/>
      <x:c r="H21" s="9"/>
    </x:row>
    <x:row r="22" ht="26" customHeight="1">
      <x:c r="A22" s="2" t="str">
        <x:v>贡献率</x:v>
      </x:c>
      <x:c r="B22" s="26" t="n">
        <x:f>B21/B17</x:f>
        <x:v>0.2912371134020619</x:v>
      </x:c>
      <x:c r="C22" s="26" t="n">
        <x:f>C21/C17</x:f>
        <x:v>0.10046492823933695</x:v>
      </x:c>
      <x:c r="D22" s="26" t="n">
        <x:f>D21/D17</x:f>
        <x:v>0.3060204400410586</x:v>
      </x:c>
      <x:c r="E22" s="2"/>
      <x:c r="F22" s="9"/>
      <x:c r="G22" s="9"/>
      <x:c r="H22" s="9"/>
    </x:row>
    <x:row r="23" ht="26" customHeight="1">
      <x:c r="A23" s="30" t="str">
        <x:v>保本人数 向上取整</x:v>
      </x:c>
      <x:c r="B23" s="31" t="n">
        <x:f>IF(B6*(1-B12)-B9-B10&lt;=0,"无保本人数",ROUNDUP(B11/(B6*(1-B12)-B9-B10),0))</x:f>
        <x:v>10</x:v>
      </x:c>
      <x:c r="C23" s="31" t="n">
        <x:f>IF(C6*(1-C12)-C9-C10&lt;=0,"无保本人数",ROUNDUP(C11/(C6*(1-C12)-C9-C10),0))</x:f>
        <x:v>21</x:v>
      </x:c>
      <x:c r="D23" s="31" t="n">
        <x:f>IF(D6*(1-D12)-D9-D10&lt;=0,"无保本人数",ROUNDUP(D11/(D6*(1-D12)-D9-D10),0))</x:f>
        <x:v>6</x:v>
      </x:c>
      <x:c r="E23" s="2"/>
      <x:c r="F23" s="9"/>
      <x:c r="G23" s="9"/>
      <x:c r="H23" s="9"/>
    </x:row>
    <x:row r="24" ht="26" customHeight="1">
      <x:c r="A24" s="2"/>
      <x:c r="B24" s="24"/>
      <x:c r="C24" s="24"/>
      <x:c r="D24" s="24"/>
      <x:c r="E24" s="2"/>
      <x:c r="F24" s="9"/>
      <x:c r="G24" s="9"/>
      <x:c r="H24" s="9"/>
    </x:row>
    <x:row r="25" ht="26" customHeight="1">
      <x:c r="A25" s="2" t="str">
        <x:v>收款前筹备与获客现金</x:v>
      </x:c>
      <x:c r="B25" s="24" t="n">
        <x:f>B11*40%+B19</x:f>
        <x:v>7000</x:v>
      </x:c>
      <x:c r="C25" s="24" t="n">
        <x:f>C11*40%+C19</x:f>
        <x:v>5600</x:v>
      </x:c>
      <x:c r="D25" s="24" t="n">
        <x:f>D11*40%+D19</x:f>
        <x:v>36000</x:v>
      </x:c>
      <x:c r="E25" s="2"/>
      <x:c r="F25" s="2"/>
      <x:c r="G25" s="2"/>
      <x:c r="H25" s="2"/>
    </x:row>
    <x:row r="26" ht="26" customHeight="1">
      <x:c r="A26" s="2" t="str">
        <x:v>客户首付款比例</x:v>
      </x:c>
      <x:c r="B26" s="25" t="n">
        <x:v>0.3</x:v>
      </x:c>
      <x:c r="C26" s="25" t="n">
        <x:v>0.3</x:v>
      </x:c>
      <x:c r="D26" s="25" t="n">
        <x:v>0.3</x:v>
      </x:c>
      <x:c r="E26" s="2"/>
      <x:c r="F26" s="9" t="str">
        <x:v>现金保守按项目工时报酬全部支付计算，包含合伙人工时预算。若延期支付，需按实际付款时间重算周转金。</x:v>
      </x:c>
      <x:c r="G26" s="9"/>
      <x:c r="H26" s="9"/>
    </x:row>
    <x:row r="27" ht="26" customHeight="1">
      <x:c r="A27" s="2" t="str">
        <x:v>供应商预付直接成本比例</x:v>
      </x:c>
      <x:c r="B27" s="25" t="n">
        <x:v>0.7</x:v>
      </x:c>
      <x:c r="C27" s="25" t="n">
        <x:v>0.7</x:v>
      </x:c>
      <x:c r="D27" s="25" t="n">
        <x:v>0.7</x:v>
      </x:c>
      <x:c r="E27" s="2"/>
      <x:c r="F27" s="9"/>
      <x:c r="G27" s="9"/>
      <x:c r="H27" s="9"/>
    </x:row>
    <x:row r="28" ht="26" customHeight="1">
      <x:c r="A28" s="2" t="str">
        <x:v>供应商首次付款</x:v>
      </x:c>
      <x:c r="B28" s="24" t="n">
        <x:f>B18*B27</x:f>
        <x:v>7699.999999999999</x:v>
      </x:c>
      <x:c r="C28" s="24" t="n">
        <x:f>C18*C27</x:f>
        <x:v>2688</x:v>
      </x:c>
      <x:c r="D28" s="24" t="n">
        <x:f>D18*D27</x:f>
        <x:v>85260</x:v>
      </x:c>
      <x:c r="E28" s="2"/>
      <x:c r="F28" s="9"/>
      <x:c r="G28" s="9"/>
      <x:c r="H28" s="9"/>
    </x:row>
    <x:row r="29" ht="26" customHeight="1">
      <x:c r="A29" s="2" t="str">
        <x:v>首付款到账后累计现金</x:v>
      </x:c>
      <x:c r="B29" s="24" t="n">
        <x:f>B15*B26-B28-B20-B19</x:f>
        <x:v>-9720</x:v>
      </x:c>
      <x:c r="C29" s="24" t="n">
        <x:f>C15*C26-C28-C20-C19</x:f>
        <x:v>-8192</x:v>
      </x:c>
      <x:c r="D29" s="24" t="n">
        <x:f>D15*D26-D28-D20-D19</x:f>
        <x:v>-66900</x:v>
      </x:c>
      <x:c r="E29" s="2"/>
      <x:c r="F29" s="9"/>
      <x:c r="G29" s="9"/>
      <x:c r="H29" s="9"/>
    </x:row>
    <x:row r="30" ht="26" customHeight="1">
      <x:c r="A30" s="2" t="str">
        <x:v>退款现金预留</x:v>
      </x:c>
      <x:c r="B30" s="24" t="n">
        <x:f>B15*B12</x:f>
        <x:v>1008</x:v>
      </x:c>
      <x:c r="C30" s="24" t="n">
        <x:f>C15*C12</x:f>
        <x:v>489.59999999999997</x:v>
      </x:c>
      <x:c r="D30" s="24" t="n">
        <x:f>D15*D12</x:f>
        <x:v>8316</x:v>
      </x:c>
      <x:c r="E30" s="2"/>
      <x:c r="F30" s="2"/>
      <x:c r="G30" s="2"/>
      <x:c r="H30" s="2"/>
    </x:row>
    <x:row r="31" ht="26" customHeight="1">
      <x:c r="A31" s="30" t="str">
        <x:v>建议启动周转金</x:v>
      </x:c>
      <x:c r="B31" s="31" t="n">
        <x:f>MAX(B25,-B29,0)+B30</x:f>
        <x:v>10728</x:v>
      </x:c>
      <x:c r="C31" s="31" t="n">
        <x:f>MAX(C25,-C29,0)+C30</x:f>
        <x:v>8681.6</x:v>
      </x:c>
      <x:c r="D31" s="31" t="n">
        <x:f>MAX(D25,-D29,0)+D30</x:f>
        <x:v>75216</x:v>
      </x:c>
      <x:c r="E31" s="2"/>
      <x:c r="F31" s="2"/>
      <x:c r="G31" s="2"/>
      <x:c r="H31" s="2"/>
    </x:row>
    <x:row r="32" ht="26" customHeight="1">
      <x:c r="A32" s="2" t="str">
        <x:v>完成及结清后的现金</x:v>
      </x:c>
      <x:c r="B32" s="24" t="n">
        <x:f>B15-SUM(B18:B20)</x:f>
        <x:v>10500</x:v>
      </x:c>
      <x:c r="C32" s="24" t="n">
        <x:f>C15-SUM(C18:C20)</x:f>
        <x:v>2080</x:v>
      </x:c>
      <x:c r="D32" s="24" t="n">
        <x:f>D15-SUM(D18:D20)</x:f>
        <x:v>90600</x:v>
      </x:c>
      <x:c r="E32" s="2"/>
      <x:c r="F32" s="2"/>
      <x:c r="G32" s="2"/>
      <x:c r="H32" s="2"/>
    </x:row>
    <x:row r="33" ht="26" customHeight="1">
      <x:c r="A33" s="30" t="str">
        <x:v>扣退款预留后可用现金</x:v>
      </x:c>
      <x:c r="B33" s="31" t="n">
        <x:f>B32-B30</x:f>
        <x:v>9492</x:v>
      </x:c>
      <x:c r="C33" s="31" t="n">
        <x:f>C32-C30</x:f>
        <x:v>1590.4</x:v>
      </x:c>
      <x:c r="D33" s="31" t="n">
        <x:f>D32-D30</x:f>
        <x:v>82284</x:v>
      </x:c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32" t="str">
        <x:v>人数与票价变化后的单次贡献</x:v>
      </x:c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 t="str">
        <x:v>北京单身主题晚宴，左列低于预期／基准／满团人数</x:v>
      </x:c>
      <x:c r="B37" s="2"/>
      <x:c r="C37" s="2"/>
      <x:c r="D37" s="2"/>
      <x:c r="E37" s="2"/>
      <x:c r="F37" s="2" t="str">
        <x:v>旅行退款金额比例与人数对贡献的影响</x:v>
      </x:c>
      <x:c r="G37" s="2"/>
      <x:c r="H37" s="2"/>
    </x:row>
    <x:row r="38">
      <x:c r="A38" s="33" t="n">
        <x:f>B21</x:f>
        <x:v>9492</x:v>
      </x:c>
      <x:c r="B38" s="29" t="n">
        <x:v>1428</x:v>
      </x:c>
      <x:c r="C38" s="29" t="n">
        <x:v>1680</x:v>
      </x:c>
      <x:c r="D38" s="29" t="n">
        <x:v>1848</x:v>
      </x:c>
      <x:c r="E38" s="2"/>
      <x:c r="F38" s="33" t="n">
        <x:f>D21</x:f>
        <x:v>82284</x:v>
      </x:c>
      <x:c r="G38" s="34" t="n">
        <x:v>0</x:v>
      </x:c>
      <x:c r="H38" s="34" t="n">
        <x:v>0.03</x:v>
      </x:c>
      <x:c r="I38" s="35" t="n">
        <x:v>0.1</x:v>
      </x:c>
    </x:row>
    <x:row r="39">
      <x:c r="A39" s="29" t="n">
        <x:v>14</x:v>
      </x:c>
      <x:c r="B39" s="24" t="n">
        <x:f t="dataTable" ref="B39:D41" dt2D="1" r1="B6" r2="B7"/>
        <x:v>672.2400000000016</x:v>
      </x:c>
      <x:c r="C39" s="24" t="n">
        <x:v>4094.4000000000015</x:v>
      </x:c>
      <x:c r="D39" s="24" t="n">
        <x:v>6375.84</x:v>
      </x:c>
      <x:c r="E39" s="2"/>
      <x:c r="F39" s="2" t="n">
        <x:v>10</x:v>
      </x:c>
      <x:c r="G39" s="24" t="n">
        <x:f t="dataTable" ref="G39:I41" dt2D="1" r1="D12" r2="D7"/>
        <x:v>51000</x:v>
      </x:c>
      <x:c r="H39" s="24" t="n">
        <x:v>45060</x:v>
      </x:c>
      <x:c r="I39" s="36" t="n">
        <x:v>31200</x:v>
      </x:c>
    </x:row>
    <x:row r="40">
      <x:c r="A40" s="29" t="n">
        <x:v>20</x:v>
      </x:c>
      <x:c r="B40" s="24" t="n">
        <x:v>4603.200000000001</x:v>
      </x:c>
      <x:c r="C40" s="24" t="n">
        <x:v>9492</x:v>
      </x:c>
      <x:c r="D40" s="24" t="n">
        <x:v>12751.199999999997</x:v>
      </x:c>
      <x:c r="E40" s="2"/>
      <x:c r="F40" s="2" t="n">
        <x:v>14</x:v>
      </x:c>
      <x:c r="G40" s="24" t="n">
        <x:v>90600</x:v>
      </x:c>
      <x:c r="H40" s="24" t="n">
        <x:v>82284</x:v>
      </x:c>
      <x:c r="I40" s="36" t="n">
        <x:v>62880</x:v>
      </x:c>
    </x:row>
    <x:row r="41">
      <x:c r="A41" s="29" t="n">
        <x:v>24</x:v>
      </x:c>
      <x:c r="B41" s="24" t="n">
        <x:v>7223.8399999999965</x:v>
      </x:c>
      <x:c r="C41" s="24" t="n">
        <x:v>13090.400000000001</x:v>
      </x:c>
      <x:c r="D41" s="24" t="n">
        <x:v>17001.440000000002</x:v>
      </x:c>
      <x:c r="E41" s="2"/>
      <x:c r="F41" s="2" t="n">
        <x:v>16</x:v>
      </x:c>
      <x:c r="G41" s="24" t="n">
        <x:v>110400</x:v>
      </x:c>
      <x:c r="H41" s="24" t="n">
        <x:v>100896</x:v>
      </x:c>
      <x:c r="I41" s="36" t="n">
        <x:v>78720</x:v>
      </x:c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 t="str">
        <x:v>北京经营者主题分享会，左列低于预期／基准／满团人数</x:v>
      </x:c>
      <x:c r="B44" s="2"/>
      <x:c r="C44" s="2"/>
      <x:c r="D44" s="2"/>
      <x:c r="E44" s="2"/>
      <x:c r="F44" s="2" t="str">
        <x:v>旅行人数情景</x:v>
      </x:c>
      <x:c r="G44" s="2" t="str">
        <x:v>单团贡献 元</x:v>
      </x:c>
      <x:c r="H44" s="2"/>
    </x:row>
    <x:row r="45">
      <x:c r="A45" s="33" t="n">
        <x:f>C21</x:f>
        <x:v>1590.3999999999996</x:v>
      </x:c>
      <x:c r="B45" s="29" t="n">
        <x:v>578</x:v>
      </x:c>
      <x:c r="C45" s="29" t="n">
        <x:v>680</x:v>
      </x:c>
      <x:c r="D45" s="29" t="n">
        <x:v>748</x:v>
      </x:c>
      <x:c r="E45" s="2"/>
      <x:c r="F45" s="2" t="str">
        <x:v>低于预期10人</x:v>
      </x:c>
      <x:c r="G45" s="24" t="n">
        <x:f>C53</x:f>
        <x:v>45060</x:v>
      </x:c>
      <x:c r="H45" s="2"/>
    </x:row>
    <x:row r="46">
      <x:c r="A46" s="29" t="n">
        <x:v>16</x:v>
      </x:c>
      <x:c r="B46" s="24" t="n">
        <x:f t="dataTable" ref="B46:D48" dt2D="1" r1="C6" r2="C7"/>
        <x:v>-3189.4400000000005</x:v>
      </x:c>
      <x:c r="C46" s="24" t="n">
        <x:v>-1606.3999999999996</x:v>
      </x:c>
      <x:c r="D46" s="24" t="n">
        <x:v>-551.0400000000009</x:v>
      </x:c>
      <x:c r="E46" s="2"/>
      <x:c r="F46" s="2" t="str">
        <x:v>基准14人</x:v>
      </x:c>
      <x:c r="G46" s="24" t="n">
        <x:f>C54</x:f>
        <x:v>82284</x:v>
      </x:c>
      <x:c r="H46" s="2"/>
    </x:row>
    <x:row r="47">
      <x:c r="A47" s="29" t="n">
        <x:v>24</x:v>
      </x:c>
      <x:c r="B47" s="24" t="n">
        <x:v>-784.1599999999999</x:v>
      </x:c>
      <x:c r="C47" s="24" t="n">
        <x:v>1590.3999999999996</x:v>
      </x:c>
      <x:c r="D47" s="24" t="n">
        <x:v>3173.4399999999987</x:v>
      </x:c>
      <x:c r="E47" s="2"/>
      <x:c r="F47" s="2" t="str">
        <x:v>满团16人</x:v>
      </x:c>
      <x:c r="G47" s="24" t="n">
        <x:f>C55</x:f>
        <x:v>100896</x:v>
      </x:c>
      <x:c r="H47" s="2"/>
    </x:row>
    <x:row r="48">
      <x:c r="A48" s="29" t="n">
        <x:v>30</x:v>
      </x:c>
      <x:c r="B48" s="24" t="n">
        <x:v>1019.7999999999992</x:v>
      </x:c>
      <x:c r="C48" s="24" t="n">
        <x:v>3988</x:v>
      </x:c>
      <x:c r="D48" s="24" t="n">
        <x:v>5966.799999999999</x:v>
      </x:c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 t="str">
        <x:v>三亚四天三晚单身小团，左列低于预期／基准／满团人数</x:v>
      </x:c>
      <x:c r="B51" s="2"/>
      <x:c r="C51" s="2"/>
      <x:c r="D51" s="2"/>
      <x:c r="E51" s="2"/>
      <x:c r="F51" s="2"/>
      <x:c r="G51" s="2"/>
      <x:c r="H51" s="2"/>
    </x:row>
    <x:row r="52">
      <x:c r="A52" s="33" t="n">
        <x:f>D21</x:f>
        <x:v>82284</x:v>
      </x:c>
      <x:c r="B52" s="29" t="n">
        <x:v>16830</x:v>
      </x:c>
      <x:c r="C52" s="29" t="n">
        <x:v>19800</x:v>
      </x:c>
      <x:c r="D52" s="29" t="n">
        <x:v>21780</x:v>
      </x:c>
      <x:c r="E52" s="2"/>
      <x:c r="F52" s="2"/>
      <x:c r="G52" s="2"/>
      <x:c r="H52" s="2"/>
    </x:row>
    <x:row r="53">
      <x:c r="A53" s="29" t="n">
        <x:v>10</x:v>
      </x:c>
      <x:c r="B53" s="24" t="n">
        <x:f t="dataTable" ref="B53:D55" dt2D="1" r1="D6" r2="D7"/>
        <x:v>16251</x:v>
      </x:c>
      <x:c r="C53" s="24" t="n">
        <x:v>45060</x:v>
      </x:c>
      <x:c r="D53" s="24" t="n">
        <x:v>64266</x:v>
      </x:c>
      <x:c r="E53" s="2"/>
      <x:c r="F53" s="2"/>
      <x:c r="G53" s="2"/>
      <x:c r="H53" s="2"/>
    </x:row>
    <x:row r="54">
      <x:c r="A54" s="29" t="n">
        <x:v>14</x:v>
      </x:c>
      <x:c r="B54" s="24" t="n">
        <x:v>41951.399999999994</x:v>
      </x:c>
      <x:c r="C54" s="24" t="n">
        <x:v>82284</x:v>
      </x:c>
      <x:c r="D54" s="24" t="n">
        <x:v>109172.40000000002</x:v>
      </x:c>
      <x:c r="E54" s="2"/>
      <x:c r="F54" s="2"/>
      <x:c r="G54" s="2"/>
      <x:c r="H54" s="2"/>
    </x:row>
    <x:row r="55">
      <x:c r="A55" s="29" t="n">
        <x:v>16</x:v>
      </x:c>
      <x:c r="B55" s="24" t="n">
        <x:v>54801.600000000006</x:v>
      </x:c>
      <x:c r="C55" s="24" t="n">
        <x:v>100896</x:v>
      </x:c>
      <x:c r="D55" s="24" t="n">
        <x:v>131625.59999999998</x:v>
      </x:c>
      <x:c r="E55" s="2"/>
      <x:c r="F55" s="2"/>
      <x:c r="G55" s="2"/>
      <x:c r="H55" s="2"/>
    </x:row>
    <x:row r="56">
      <x:c r="A56" s="2" t="str">
        <x:v>产品交付与后续购买</x:v>
      </x:c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 ht="42" customHeight="1">
      <x:c r="A58" s="9" t="str">
        <x:v>北京单身主题晚宴：一人一席、餐食及约定饮品、行前20分钟沟通、主持与分组、双方同意的后续联系；不含旅行团费、不承诺配对成功。
后续：先记录愿意再次见面的人和可出行日期，再邀请旅行说明会。无适配旅行者可继续主题活动。</x:v>
      </x:c>
      <x:c r="B58" s="9"/>
      <x:c r="C58" s="9"/>
      <x:c r="D58" s="9"/>
      <x:c r="E58" s="2"/>
      <x:c r="F58" s="2"/>
      <x:c r="G58" s="2"/>
      <x:c r="H58" s="2"/>
    </x:row>
    <x:row r="59" ht="42" customHeight="1">
      <x:c r="A59" s="9"/>
      <x:c r="B59" s="9"/>
      <x:c r="C59" s="9"/>
      <x:c r="D59" s="9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 ht="42" customHeight="1">
      <x:c r="A61" s="9" t="str">
        <x:v>北京经营者主题分享会：分享、分组讨论、茶歇、事后问题纪要；不含私董会年度服务、融资或商业引荐承诺。
后续：围绕同一问题做后续小组，验证第二次付费。婚恋邀约只面向自愿报名单身者。</x:v>
      </x:c>
      <x:c r="B61" s="9"/>
      <x:c r="C61" s="9"/>
      <x:c r="D61" s="9"/>
      <x:c r="E61" s="2"/>
      <x:c r="F61" s="2"/>
      <x:c r="G61" s="2"/>
      <x:c r="H61" s="2"/>
    </x:row>
    <x:row r="62" ht="42" customHeight="1">
      <x:c r="A62" s="9"/>
      <x:c r="B62" s="9"/>
      <x:c r="C62" s="9"/>
      <x:c r="D62" s="9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 ht="42" customHeight="1">
      <x:c r="A64" s="9" t="str">
        <x:v>三亚四天三晚单身小团：三晚每人独住基础房、约定正餐、当地接送与用车、一项低强度共同体验、领队及社交主持、基本保险预算；往返机票自行购买。升房、酒水超额、SPA及个人购物另付。
后续：先看愿意再次共同参加的比例，再推同城活动或下一条旅行，不靠承诺脱单留存。</x:v>
      </x:c>
      <x:c r="B64" s="9"/>
      <x:c r="C64" s="9"/>
      <x:c r="D64" s="9"/>
      <x:c r="E64" s="2"/>
      <x:c r="F64" s="2"/>
      <x:c r="G64" s="2"/>
      <x:c r="H64" s="2"/>
    </x:row>
    <x:row r="65" ht="42" customHeight="1">
      <x:c r="A65" s="9"/>
      <x:c r="B65" s="9"/>
      <x:c r="C65" s="9"/>
      <x:c r="D65" s="9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</x:sheetData>
  <x:mergeCells>
    <x:mergeCell ref="F13:H17"/>
    <x:mergeCell ref="F21:H24"/>
    <x:mergeCell ref="A58:D59"/>
    <x:mergeCell ref="A61:D62"/>
    <x:mergeCell ref="A64:D65"/>
    <x:mergeCell ref="F26:H29"/>
  </x:mergeCells>
  <x:dataValidations count="3">
    <x:dataValidation type="whole" operator="between" sqref="B7">
      <x:formula1>1</x:formula1>
      <x:formula2>24</x:formula2>
    </x:dataValidation>
    <x:dataValidation type="whole" operator="between" sqref="C7">
      <x:formula1>1</x:formula1>
      <x:formula2>30</x:formula2>
    </x:dataValidation>
    <x:dataValidation type="whole" operator="between" sqref="D7">
      <x:formula1>1</x:formula1>
      <x:formula2>16</x:formula2>
    </x:dataValidation>
  </x:dataValidations>
  <x:pageMargins left="0.7" right="0.7" top="0.75" bottom="0.75" header="0.3" footer="0.3"/>
  <x:drawing xmlns:r="http://schemas.openxmlformats.org/officeDocument/2006/relationships" r:id="Rb3c31fdde82c4325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2" hidden="0" customWidth="1"/>
    <x:col min="2" max="2" width="36" hidden="0" customWidth="1"/>
    <x:col min="3" max="3" width="25" hidden="0" customWidth="1"/>
    <x:col min="4" max="4" width="34" hidden="0" customWidth="1"/>
    <x:col min="5" max="5" width="67" hidden="0" customWidth="1"/>
    <x:col min="6" max="6" width="55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来源与待补资料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编号</x:v>
      </x:c>
      <x:c r="B5" s="7" t="str">
        <x:v>资料</x:v>
      </x:c>
      <x:c r="C5" s="7" t="str">
        <x:v>类别</x:v>
      </x:c>
      <x:c r="D5" s="7" t="str">
        <x:v>适用时间</x:v>
      </x:c>
      <x:c r="E5" s="7" t="str">
        <x:v>使用说明</x:v>
      </x:c>
      <x:c r="F5" s="7" t="str">
        <x:v>原文入口</x:v>
      </x:c>
    </x:row>
    <x:row r="6" ht="40" customHeight="1">
      <x:c r="A6" s="10" t="str">
        <x:v>D01</x:v>
      </x:c>
      <x:c r="B6" s="10" t="str">
        <x:v>32号机构与经营主体</x:v>
      </x:c>
      <x:c r="C6" s="10" t="str">
        <x:v>机构公开资料</x:v>
      </x:c>
      <x:c r="D6" s="10" t="str">
        <x:v>页面未标更新日，2026年10月23日复核</x:v>
      </x:c>
      <x:c r="E6" s="10" t="str">
        <x:v>广州三十二号国际旅行社有限公司，信用代码91440105340204851E，旅行社许可L-GD02356；规模与推荐比例均为企业自述</x:v>
      </x:c>
      <x:c r="F6" s="10" t="str">
        <x:v>https://www.32hike.com/aboutus.html</x:v>
      </x:c>
    </x:row>
    <x:row r="7" ht="40" customHeight="1">
      <x:c r="A7" s="9" t="str">
        <x:v>D02</x:v>
      </x:c>
      <x:c r="B7" s="9" t="str">
        <x:v>游侠客主题旅行平台</x:v>
      </x:c>
      <x:c r="C7" s="9" t="str">
        <x:v>机构公开资料</x:v>
      </x:c>
      <x:c r="D7" s="9" t="str">
        <x:v>页面未标更新日，2026年10月23日复核</x:v>
      </x:c>
      <x:c r="E7" s="9" t="str">
        <x:v>首页报名动态与累计线路报名人数，不等于本年独立客户</x:v>
      </x:c>
      <x:c r="F7" s="9" t="str">
        <x:v>https://www.youxiake.com/</x:v>
      </x:c>
    </x:row>
    <x:row r="8" ht="40" customHeight="1">
      <x:c r="A8" s="10" t="str">
        <x:v>D03</x:v>
      </x:c>
      <x:c r="B8" s="10" t="str">
        <x:v>稻草人当前入口</x:v>
      </x:c>
      <x:c r="C8" s="10" t="str">
        <x:v>机构公开资料</x:v>
      </x:c>
      <x:c r="D8" s="10" t="str">
        <x:v>页面未标更新日，2026年10月23日复核</x:v>
      </x:c>
      <x:c r="E8" s="10" t="str">
        <x:v>当前前端需执行脚本；本轮未取得可读的具体线路日历价</x:v>
      </x:c>
      <x:c r="F8" s="10" t="str">
        <x:v>https://home.54traveler.com/</x:v>
      </x:c>
    </x:row>
    <x:row r="9" ht="40" customHeight="1">
      <x:c r="A9" s="9" t="str">
        <x:v>D04</x:v>
      </x:c>
      <x:c r="B9" s="9" t="str">
        <x:v>钻石爱情定制收费</x:v>
      </x:c>
      <x:c r="C9" s="9" t="str">
        <x:v>机构公开资料</x:v>
      </x:c>
      <x:c r="D9" s="9" t="str">
        <x:v>页面未标更新日，2026年10月23日复核</x:v>
      </x:c>
      <x:c r="E9" s="9" t="str">
        <x:v>30万、60万、100万元起为定制项目起价，具体服务期限与次数须以合同为准</x:v>
      </x:c>
      <x:c r="F9" s="9" t="str">
        <x:v>https://www.zuanshi.com/new/loveCustomization</x:v>
      </x:c>
    </x:row>
    <x:row r="10" ht="40" customHeight="1">
      <x:c r="A10" s="10" t="str">
        <x:v>D05</x:v>
      </x:c>
      <x:c r="B10" s="10" t="str">
        <x:v>钻石准入说明</x:v>
      </x:c>
      <x:c r="C10" s="10" t="str">
        <x:v>机构公开资料</x:v>
      </x:c>
      <x:c r="D10" s="10" t="str">
        <x:v>页面未标更新日，2026年10月23日复核</x:v>
      </x:c>
      <x:c r="E10" s="10" t="str"/>
      <x:c r="F10" s="10" t="str">
        <x:v>https://www.zuanshi.com/webContent/question</x:v>
      </x:c>
    </x:row>
    <x:row r="11" ht="40" customHeight="1">
      <x:c r="A11" s="9" t="str">
        <x:v>D06</x:v>
      </x:c>
      <x:c r="B11" s="9" t="str">
        <x:v>钻石圈层活动</x:v>
      </x:c>
      <x:c r="C11" s="9" t="str">
        <x:v>机构公开资料</x:v>
      </x:c>
      <x:c r="D11" s="9" t="str">
        <x:v>页面未标更新日，2026年10月23日复核</x:v>
      </x:c>
      <x:c r="E11" s="9" t="str">
        <x:v>10月24日山野及亿元单身局仍是未来招募</x:v>
      </x:c>
      <x:c r="F11" s="9" t="str">
        <x:v>https://www.zuanshi.com/webActivity/newActivityList</x:v>
      </x:c>
    </x:row>
    <x:row r="12" ht="40" customHeight="1">
      <x:c r="A12" s="10" t="str">
        <x:v>D07</x:v>
      </x:c>
      <x:c r="B12" s="10" t="str">
        <x:v>我主良缘品牌业务</x:v>
      </x:c>
      <x:c r="C12" s="10" t="str">
        <x:v>机构公开资料</x:v>
      </x:c>
      <x:c r="D12" s="10" t="str">
        <x:v>页面未标更新日，2026年10月23日复核</x:v>
      </x:c>
      <x:c r="E12" s="10" t="str">
        <x:v>含派聚旅行社交品牌，尚缺当前旅行商品及成交证据</x:v>
      </x:c>
      <x:c r="F12" s="10" t="str">
        <x:v>https://www.liangyuan.com/</x:v>
      </x:c>
    </x:row>
    <x:row r="13" ht="40" customHeight="1">
      <x:c r="A13" s="9" t="str">
        <x:v>D08</x:v>
      </x:c>
      <x:c r="B13" s="9" t="str">
        <x:v>如爱盘锦一日活动</x:v>
      </x:c>
      <x:c r="C13" s="9" t="str">
        <x:v>机构公开资料</x:v>
      </x:c>
      <x:c r="D13" s="9" t="str">
        <x:v>活动2026年10月18日，10月23日复核</x:v>
      </x:c>
      <x:c r="E13" s="9" t="str">
        <x:v>男115女95，报名显示18，现场签到模块为空</x:v>
      </x:c>
      <x:c r="F13" s="9" t="str">
        <x:v>https://www.ruailove.com/party/89.html</x:v>
      </x:c>
    </x:row>
    <x:row r="14" ht="40" customHeight="1">
      <x:c r="A14" s="10" t="str">
        <x:v>D09</x:v>
      </x:c>
      <x:c r="B14" s="10" t="str">
        <x:v>金凤凰深圳活动</x:v>
      </x:c>
      <x:c r="C14" s="10" t="str">
        <x:v>机构公开资料</x:v>
      </x:c>
      <x:c r="D14" s="10" t="str">
        <x:v>活动2026年9月20日，10月23日复核</x:v>
      </x:c>
      <x:c r="E14" s="10" t="str">
        <x:v>99元，计划60，页面报名59；不等同到场</x:v>
      </x:c>
      <x:c r="F14" s="10" t="str">
        <x:v>https://www.jfh999.com/party/311.html</x:v>
      </x:c>
    </x:row>
    <x:row r="15" ht="40" customHeight="1">
      <x:c r="A15" s="9" t="str">
        <x:v>D10</x:v>
      </x:c>
      <x:c r="B15" s="9" t="str">
        <x:v>南充囍上媒捎两天一夜招募</x:v>
      </x:c>
      <x:c r="C15" s="9" t="str">
        <x:v>主办方招募稿</x:v>
      </x:c>
      <x:c r="D15" s="9" t="str">
        <x:v>发布2026年10月14日，出行10月24至25日</x:v>
      </x:c>
      <x:c r="E15" s="9" t="str">
        <x:v>388元；收款及旅行承办资质待核；正文混用未来招募与完成语气，仅作招募</x:v>
      </x:c>
      <x:c r="F15" s="9" t="str">
        <x:v>https://jinrishangye.com/8357/</x:v>
      </x:c>
    </x:row>
    <x:row r="16" ht="40" customHeight="1">
      <x:c r="A16" s="10" t="str">
        <x:v>D11</x:v>
      </x:c>
      <x:c r="B16" s="10" t="str">
        <x:v>囍上媒捎品牌主体</x:v>
      </x:c>
      <x:c r="C16" s="10" t="str">
        <x:v>机构公开资料</x:v>
      </x:c>
      <x:c r="D16" s="10" t="str">
        <x:v>页面未标更新日，2026年10月23日复核</x:v>
      </x:c>
      <x:c r="E16" s="10" t="str">
        <x:v>思然互联网科技集团；全国网点和本地活动分别核实</x:v>
      </x:c>
      <x:c r="F16" s="10" t="str">
        <x:v>https://www.xsms-club.com/</x:v>
      </x:c>
    </x:row>
    <x:row r="17" ht="35" customHeight="1">
      <x:c r="A17" s="9" t="str">
        <x:v>D12</x:v>
      </x:c>
      <x:c r="B17" s="9" t="str">
        <x:v>北京爱旅玉渡山联谊</x:v>
      </x:c>
      <x:c r="C17" s="9" t="str">
        <x:v>活动宣传稿</x:v>
      </x:c>
      <x:c r="D17" s="9" t="str">
        <x:v>活动2026年8月1日，复用并复核</x:v>
      </x:c>
      <x:c r="E17" s="9" t="str">
        <x:v>138元，200人是招募计划；联合主办，旅行承办主体未确认</x:v>
      </x:c>
      <x:c r="F17" s="9" t="str">
        <x:v>https://www.sohu.com/a/1055933312_121626427</x:v>
      </x:c>
    </x:row>
    <x:row r="18" ht="40" customHeight="1">
      <x:c r="A18" s="10" t="str">
        <x:v>D13</x:v>
      </x:c>
      <x:c r="B18" s="10" t="str">
        <x:v>MeetKnow北京场次</x:v>
      </x:c>
      <x:c r="C18" s="10" t="str">
        <x:v>机构公开资料</x:v>
      </x:c>
      <x:c r="D18" s="10" t="str">
        <x:v>页面未标更新日，2026年10月23日复核</x:v>
      </x:c>
      <x:c r="E18" s="10" t="str">
        <x:v>页面仍显示10月18日报名，排期滞后；仅作公开规则与价格样本</x:v>
      </x:c>
      <x:c r="F18" s="10" t="str">
        <x:v>https://meetknow.com/activities/beijing</x:v>
      </x:c>
    </x:row>
    <x:row r="19" ht="40" customHeight="1">
      <x:c r="A19" s="9" t="str">
        <x:v>D14</x:v>
      </x:c>
      <x:c r="B19" s="9" t="str">
        <x:v>大超小红书公开主页</x:v>
      </x:c>
      <x:c r="C19" s="9" t="str">
        <x:v>前轮平台快照</x:v>
      </x:c>
      <x:c r="D19" s="9" t="str">
        <x:v>2026年10月22日</x:v>
      </x:c>
      <x:c r="E19" s="9" t="str">
        <x:v>999元本人定位与199元红娘定位为主页项目；完整服务包和旅行产品未核实，可能需登录</x:v>
      </x:c>
      <x:c r="F19" s="9" t="str">
        <x:v>https://www.xiaohongshu.com/user/profile/6270c387000000002102a8b5</x:v>
      </x:c>
    </x:row>
    <x:row r="20" ht="35" customHeight="1">
      <x:c r="A20" s="10" t="str">
        <x:v>D15</x:v>
      </x:c>
      <x:c r="B20" s="10" t="str">
        <x:v>BoL及BoL Selected用户资料</x:v>
      </x:c>
      <x:c r="C20" s="10" t="str">
        <x:v>用户提供截图及会议说明</x:v>
      </x:c>
      <x:c r="D20" s="10" t="str">
        <x:v>2026年10月23日用户确认案例身份</x:v>
      </x:c>
      <x:c r="E20" s="10" t="str">
        <x:v>私有原始截图在既有网站资料；客户量、价格、利润未独立核实</x:v>
      </x:c>
      <x:c r="F20" s="10" t="str">
        <x:v>用户私有资料，无公开链接</x:v>
      </x:c>
    </x:row>
    <x:row r="21" ht="40" customHeight="1">
      <x:c r="A21" s="9" t="str">
        <x:v>D16</x:v>
      </x:c>
      <x:c r="B21" s="9" t="str">
        <x:v>HIMMR线下服务</x:v>
      </x:c>
      <x:c r="C21" s="9" t="str">
        <x:v>机构公开资料</x:v>
      </x:c>
      <x:c r="D21" s="9" t="str">
        <x:v>页面未标更新日，2026年10月23日复核</x:v>
      </x:c>
      <x:c r="E21" s="9" t="str">
        <x:v>高校与职业定位及线下组织参照，未取得当前旅行商品</x:v>
      </x:c>
      <x:c r="F21" s="9" t="str">
        <x:v>https://www.himmr.tech/</x:v>
      </x:c>
    </x:row>
    <x:row r="22" ht="40" customHeight="1">
      <x:c r="A22" s="10" t="str">
        <x:v>M01</x:v>
      </x:c>
      <x:c r="B22" s="10" t="str">
        <x:v>2026年轻相亲研究</x:v>
      </x:c>
      <x:c r="C22" s="10" t="str">
        <x:v>研究评论</x:v>
      </x:c>
      <x:c r="D22" s="10" t="str">
        <x:v>2026年7月3日</x:v>
      </x:c>
      <x:c r="E22" s="10" t="str">
        <x:v>需求背景，不能直接推出A8客群市场容量</x:v>
      </x:c>
      <x:c r="F22" s="10" t="str">
        <x:v>https://paper.people.com.cn/rmlt/pc/content/202607/03/content_30172466.html</x:v>
      </x:c>
    </x:row>
    <x:row r="23" ht="40" customHeight="1">
      <x:c r="A23" s="9" t="str">
        <x:v>M02</x:v>
      </x:c>
      <x:c r="B23" s="9" t="str">
        <x:v>亚龙湾酒店七夕套餐</x:v>
      </x:c>
      <x:c r="C23" s="9" t="str">
        <x:v>度假区汇总酒店活动</x:v>
      </x:c>
      <x:c r="D23" s="9" t="str">
        <x:v>2026年8月19日七夕促销</x:v>
      </x:c>
      <x:c r="E23" s="9" t="str">
        <x:v>瑞士899起、美爵799起；历史套餐且文案计价存在歧义，不计入未来同线路现行报价</x:v>
      </x:c>
      <x:c r="F23" s="9" t="str">
        <x:v>https://www.syyalongbay.cn/news_detail_34.html</x:v>
      </x:c>
    </x:row>
    <x:row r="24" ht="40" customHeight="1">
      <x:c r="A24" s="10" t="str">
        <x:v>M03</x:v>
      </x:c>
      <x:c r="B24" s="10" t="str">
        <x:v>三亚瑞吉酒店设施</x:v>
      </x:c>
      <x:c r="C24" s="10" t="str">
        <x:v>酒店官方</x:v>
      </x:c>
      <x:c r="D24" s="10" t="str">
        <x:v>页面未标更新日，2026年10月23日复核</x:v>
      </x:c>
      <x:c r="E24" s="10" t="str">
        <x:v>用于核对交付条件，不提供选定日期房价</x:v>
      </x:c>
      <x:c r="F24" s="10" t="str">
        <x:v>https://www.marriott.com.cn/hotels/hotel-information/syxxr-the-st-regis-sanya-yalong-bay-resort/</x:v>
      </x:c>
    </x:row>
    <x:row r="25" ht="40" customHeight="1">
      <x:c r="A25" s="9" t="str">
        <x:v>F01</x:v>
      </x:c>
      <x:c r="B25" s="9" t="str">
        <x:v>Modernist社区与活动</x:v>
      </x:c>
      <x:c r="C25" s="9" t="str">
        <x:v>机构公开资料</x:v>
      </x:c>
      <x:c r="D25" s="9" t="str">
        <x:v>页面未标更新日，2026年10月23日复核</x:v>
      </x:c>
      <x:c r="E25" s="9" t="str"/>
      <x:c r="F25" s="9" t="str">
        <x:v>https://www.modernist.club/</x:v>
      </x:c>
    </x:row>
    <x:row r="26" ht="40" customHeight="1">
      <x:c r="A26" s="10" t="str">
        <x:v>F02</x:v>
      </x:c>
      <x:c r="B26" s="10" t="str">
        <x:v>The Supper Club会籍</x:v>
      </x:c>
      <x:c r="C26" s="10" t="str">
        <x:v>机构公开资料</x:v>
      </x:c>
      <x:c r="D26" s="10" t="str">
        <x:v>页面未标更新日，2026年10月23日复核</x:v>
      </x:c>
      <x:c r="E26" s="10" t="str">
        <x:v>价格与规则从同页公开data-page结构核对</x:v>
      </x:c>
      <x:c r="F26" s="10" t="str">
        <x:v>https://members.thesupperclubinc.com/membership</x:v>
      </x:c>
    </x:row>
    <x:row r="27" ht="40" customHeight="1">
      <x:c r="A27" s="9" t="str">
        <x:v>F03</x:v>
      </x:c>
      <x:c r="B27" s="9" t="str">
        <x:v>The Supper Club条款</x:v>
      </x:c>
      <x:c r="C27" s="9" t="str">
        <x:v>机构公开资料</x:v>
      </x:c>
      <x:c r="D27" s="9" t="str">
        <x:v>页面未标更新日，2026年10月23日复核</x:v>
      </x:c>
      <x:c r="E27" s="9" t="str"/>
      <x:c r="F27" s="9" t="str">
        <x:v>https://thesupperclubinc.com/terms-of-services</x:v>
      </x:c>
    </x:row>
    <x:row r="28" ht="40" customHeight="1">
      <x:c r="A28" s="10" t="str">
        <x:v>F04</x:v>
      </x:c>
      <x:c r="B28" s="10" t="str">
        <x:v>Parlor会员手册</x:v>
      </x:c>
      <x:c r="C28" s="10" t="str">
        <x:v>机构公开资料</x:v>
      </x:c>
      <x:c r="D28" s="10" t="str">
        <x:v>未注明手册日期，2026年10月23日仍可访问</x:v>
      </x:c>
      <x:c r="E28" s="10" t="str"/>
      <x:c r="F28" s="10" t="str">
        <x:v>https://parlor.social/Parlor%20Membership.pdf</x:v>
      </x:c>
    </x:row>
    <x:row r="29" ht="40" customHeight="1">
      <x:c r="A29" s="9" t="str">
        <x:v>F05</x:v>
      </x:c>
      <x:c r="B29" s="9" t="str">
        <x:v>Mandala权益与会籍</x:v>
      </x:c>
      <x:c r="C29" s="9" t="str">
        <x:v>机构公开资料</x:v>
      </x:c>
      <x:c r="D29" s="9" t="str">
        <x:v>页面未标更新日，2026年10月23日复核</x:v>
      </x:c>
      <x:c r="E29" s="9" t="str"/>
      <x:c r="F29" s="9" t="str">
        <x:v>https://www.mandala.club/enquire</x:v>
      </x:c>
    </x:row>
    <x:row r="30" ht="40" customHeight="1">
      <x:c r="A30" s="10" t="str">
        <x:v>F06</x:v>
      </x:c>
      <x:c r="B30" s="10" t="str">
        <x:v>Mandala活动入口</x:v>
      </x:c>
      <x:c r="C30" s="10" t="str">
        <x:v>机构公开资料</x:v>
      </x:c>
      <x:c r="D30" s="10" t="str">
        <x:v>页面未标更新日，2026年10月23日复核</x:v>
      </x:c>
      <x:c r="E30" s="10" t="str"/>
      <x:c r="F30" s="10" t="str">
        <x:v>https://www.mandala.club/</x:v>
      </x:c>
    </x:row>
    <x:row r="31" ht="40" customHeight="1">
      <x:c r="A31" s="9" t="str">
        <x:v>F07</x:v>
      </x:c>
      <x:c r="B31" s="9" t="str">
        <x:v>67 Pall Mall新加坡收费</x:v>
      </x:c>
      <x:c r="C31" s="9" t="str">
        <x:v>机构公开资料</x:v>
      </x:c>
      <x:c r="D31" s="9" t="str">
        <x:v>页面未标更新日，2026年10月23日复核</x:v>
      </x:c>
      <x:c r="E31" s="9" t="str">
        <x:v>浏览搜索工具可读，本地直接请求403</x:v>
      </x:c>
      <x:c r="F31" s="9" t="str">
        <x:v>https://www.67pallmall.com/the-singapore-club/membership/</x:v>
      </x:c>
    </x:row>
    <x:row r="32" ht="40" customHeight="1">
      <x:c r="A32" s="10" t="str">
        <x:v>F08</x:v>
      </x:c>
      <x:c r="B32" s="10" t="str">
        <x:v>The Battery社群目录</x:v>
      </x:c>
      <x:c r="C32" s="10" t="str">
        <x:v>机构公开资料</x:v>
      </x:c>
      <x:c r="D32" s="10" t="str">
        <x:v>页面未标更新日，2026年10月23日复核</x:v>
      </x:c>
      <x:c r="E32" s="10" t="str">
        <x:v>旧版社群目录，当前社群仍否开放须另核</x:v>
      </x:c>
      <x:c r="F32" s="10" t="str">
        <x:v>https://legacy.thebatterysf.com/societies</x:v>
      </x:c>
    </x:row>
    <x:row r="33" ht="40" customHeight="1">
      <x:c r="A33" s="9" t="str">
        <x:v>F09</x:v>
      </x:c>
      <x:c r="B33" s="9" t="str">
        <x:v>The Battery活动入口</x:v>
      </x:c>
      <x:c r="C33" s="9" t="str">
        <x:v>机构公开资料</x:v>
      </x:c>
      <x:c r="D33" s="9" t="str">
        <x:v>页面未标更新日，2026年10月23日复核</x:v>
      </x:c>
      <x:c r="E33" s="9" t="str"/>
      <x:c r="F33" s="9" t="str">
        <x:v>https://thebatterysf.com/events</x:v>
      </x:c>
    </x:row>
    <x:row r="34" ht="40" customHeight="1">
      <x:c r="A34" s="10" t="str">
        <x:v>F10</x:v>
      </x:c>
      <x:c r="B34" s="10" t="str">
        <x:v>Carlyle &amp; Co会员定位</x:v>
      </x:c>
      <x:c r="C34" s="10" t="str">
        <x:v>机构公开资料</x:v>
      </x:c>
      <x:c r="D34" s="10" t="str">
        <x:v>页面未标更新日，2026年10月23日复核</x:v>
      </x:c>
      <x:c r="E34" s="10" t="str"/>
      <x:c r="F34" s="10" t="str">
        <x:v>https://www.carlyleandco.com/</x:v>
      </x:c>
    </x:row>
    <x:row r="35" ht="40" customHeight="1">
      <x:c r="A35" s="9" t="str">
        <x:v>F11</x:v>
      </x:c>
      <x:c r="B35" s="9" t="str">
        <x:v>Estelle三处空间</x:v>
      </x:c>
      <x:c r="C35" s="9" t="str">
        <x:v>机构公开资料</x:v>
      </x:c>
      <x:c r="D35" s="9" t="str">
        <x:v>页面未标更新日，2026年10月23日复核</x:v>
      </x:c>
      <x:c r="E35" s="9" t="str"/>
      <x:c r="F35" s="9" t="str">
        <x:v>https://estellecommunity.com/</x:v>
      </x:c>
    </x:row>
    <x:row r="36" ht="40" customHeight="1">
      <x:c r="A36" s="10" t="str">
        <x:v>F12</x:v>
      </x:c>
      <x:c r="B36" s="10" t="str">
        <x:v>The Arts Club会费</x:v>
      </x:c>
      <x:c r="C36" s="10" t="str">
        <x:v>机构公开资料</x:v>
      </x:c>
      <x:c r="D36" s="10" t="str">
        <x:v>页面未标更新日，2026年10月23日复核</x:v>
      </x:c>
      <x:c r="E36" s="10" t="str"/>
      <x:c r="F36" s="10" t="str">
        <x:v>https://www.theartsclub.co.uk/membership/</x:v>
      </x:c>
    </x:row>
    <x:row r="37" ht="40" customHeight="1">
      <x:c r="A37" s="9" t="str">
        <x:v>F13</x:v>
      </x:c>
      <x:c r="B37" s="9" t="str">
        <x:v>The Arts Club文化活动</x:v>
      </x:c>
      <x:c r="C37" s="9" t="str">
        <x:v>机构公开资料</x:v>
      </x:c>
      <x:c r="D37" s="9" t="str">
        <x:v>页面未标更新日，2026年10月23日复核</x:v>
      </x:c>
      <x:c r="E37" s="9" t="str"/>
      <x:c r="F37" s="9" t="str">
        <x:v>https://theartsclub.co.uk/arts-culture/</x:v>
      </x:c>
    </x:row>
    <x:row r="38" ht="40" customHeight="1">
      <x:c r="A38" s="10" t="str">
        <x:v>D17</x:v>
      </x:c>
      <x:c r="B38" s="10" t="str">
        <x:v>32号海南六日私家团</x:v>
      </x:c>
      <x:c r="C38" s="10" t="str">
        <x:v>机构公开资料</x:v>
      </x:c>
      <x:c r="D38" s="10" t="str">
        <x:v>页面未标更新日，2026年10月23日复核</x:v>
      </x:c>
      <x:c r="E38" s="10" t="str">
        <x:v>5980元起，两人同住基础房；日期与房态需二次确认，非指定日期成交价</x:v>
      </x:c>
      <x:c r="F38" s="10" t="str">
        <x:v>https://www.32hike.com/personal_detail/92.html</x:v>
      </x:c>
    </x:row>
    <x:row r="39" ht="40" customHeight="1">
      <x:c r="A39" s="9" t="str">
        <x:v>D18</x:v>
      </x:c>
      <x:c r="B39" s="9" t="str">
        <x:v>32号新西兰十二日</x:v>
      </x:c>
      <x:c r="C39" s="9" t="str">
        <x:v>机构公开资料</x:v>
      </x:c>
      <x:c r="D39" s="9" t="str">
        <x:v>页面未标更新日，2026年10月23日复核</x:v>
      </x:c>
      <x:c r="E39" s="9" t="str">
        <x:v>23900元每人；页面名额会变化，仅记录公开招募，不作已出发证据</x:v>
      </x:c>
      <x:c r="F39" s="9" t="str">
        <x:v>https://www.32hike.com/detail/227411.html</x:v>
      </x:c>
    </x:row>
    <x:row r="40" ht="40" customHeight="1">
      <x:c r="A40" s="10" t="str">
        <x:v>D19</x:v>
      </x:c>
      <x:c r="B40" s="10" t="str">
        <x:v>游侠客茅家埠一日线路</x:v>
      </x:c>
      <x:c r="C40" s="10" t="str">
        <x:v>机构公开资料</x:v>
      </x:c>
      <x:c r="D40" s="10" t="str">
        <x:v>页面未标更新日，2026年10月23日复核</x:v>
      </x:c>
      <x:c r="E40" s="10" t="str">
        <x:v>费用规则可读，价格由前端动态加载，本轮未取得有效金额</x:v>
      </x:c>
      <x:c r="F40" s="10" t="str">
        <x:v>https://www.youxiake.com/lines.html?id=64810</x:v>
      </x:c>
    </x:row>
    <x:row r="41" ht="40" customHeight="1">
      <x:c r="A41" s="9" t="str">
        <x:v>M04</x:v>
      </x:c>
      <x:c r="B41" s="9" t="str">
        <x:v>胡润2026高净值生活调查</x:v>
      </x:c>
      <x:c r="C41" s="9" t="str">
        <x:v>原始调查发布</x:v>
      </x:c>
      <x:c r="D41" s="9" t="str">
        <x:v>2026年1月30日</x:v>
      </x:c>
      <x:c r="E41" s="9" t="str">
        <x:v>470位千万资产受访者，78%一线城市；不是单身客户的代表样本</x:v>
      </x:c>
      <x:c r="F41" s="9" t="str">
        <x:v>https://www.hurun.cn/zh-CN/Info/Detail?num=CSX6BTOMEWY4</x:v>
      </x:c>
    </x:row>
    <x:row r="42" ht="40" customHeight="1">
      <x:c r="A42" s="10" t="str">
        <x:v>M05</x:v>
      </x:c>
      <x:c r="B42" s="10" t="str">
        <x:v>2025年结婚登记公报信息</x:v>
      </x:c>
      <x:c r="C42" s="10" t="str">
        <x:v>省级民政部门转载公报</x:v>
      </x:c>
      <x:c r="D42" s="10" t="str">
        <x:v>2026年10月发布2025全年数据</x:v>
      </x:c>
      <x:c r="E42" s="10" t="str">
        <x:v>676.5万对，同比增长10.8%；使用年度公报，不用676.3季度快报</x:v>
      </x:c>
      <x:c r="F42" s="10" t="str">
        <x:v>https://mzt.fj.gov.cn/gk/wpldq/202610/t20261008_7221424.htm</x:v>
      </x:c>
    </x:row>
    <x:row r="43" ht="40" customHeight="1">
      <x:c r="A43" s="9" t="str">
        <x:v>L01</x:v>
      </x:c>
      <x:c r="B43" s="9" t="str">
        <x:v>旅游法第二十八至三十四条</x:v>
      </x:c>
      <x:c r="C43" s="9" t="str">
        <x:v>政府公布法律</x:v>
      </x:c>
      <x:c r="D43" s="9" t="str">
        <x:v>现行公开文本，本轮复核</x:v>
      </x:c>
      <x:c r="E43" s="9" t="str"/>
      <x:c r="F43" s="9" t="str">
        <x:v>https://zwgk.mct.gov.cn/zfxxgkml/zcfg/fl/202105/t20210526_924763.html</x:v>
      </x:c>
    </x:row>
    <x:row r="44" ht="40" customHeight="1">
      <x:c r="A44" s="10" t="str">
        <x:v>L02</x:v>
      </x:c>
      <x:c r="B44" s="10" t="str">
        <x:v>个人信息保护法第二十八至三十条</x:v>
      </x:c>
      <x:c r="C44" s="10" t="str">
        <x:v>政府公布法律</x:v>
      </x:c>
      <x:c r="D44" s="10" t="str">
        <x:v>2021年公布，本轮复核</x:v>
      </x:c>
      <x:c r="E44" s="10" t="str"/>
      <x:c r="F44" s="10" t="str">
        <x:v>https://www.cac.gov.cn/2021-08/20/c_1631050028355286.htm</x:v>
      </x:c>
    </x:row>
    <x:row r="48">
      <x:c r="A48" s="16" t="str">
        <x:v>待补项目</x:v>
      </x:c>
      <x:c r="B48" s="16" t="str">
        <x:v>具体内容</x:v>
      </x:c>
      <x:c r="C48" s="16" t="str">
        <x:v>负责人</x:v>
      </x:c>
      <x:c r="D48" s="16" t="str">
        <x:v>状态</x:v>
      </x:c>
      <x:c r="E48" s="16" t="str">
        <x:v>取得什么证据</x:v>
      </x:c>
    </x:row>
    <x:row r="49" ht="70" customHeight="1">
      <x:c r="A49" s="20" t="str">
        <x:v>供应商同口径报价</x:v>
      </x:c>
      <x:c r="B49" s="20" t="str">
        <x:v>三亚与北京周边同日期、同人数、同房型的旅行社总价及分项成本</x:v>
      </x:c>
      <x:c r="C49" s="20" t="str">
        <x:v>Olivia</x:v>
      </x:c>
      <x:c r="D49" s="20" t="str">
        <x:v>待询价</x:v>
      </x:c>
      <x:c r="E49" s="20" t="str">
        <x:v>至少2家承办方书面报价，核旅行许可、保险、退款及收款主体</x:v>
      </x:c>
    </x:row>
    <x:row r="50" ht="70" customHeight="1">
      <x:c r="A50" s="20" t="str">
        <x:v>三类价格比较</x:v>
      </x:c>
      <x:c r="B50" s="20" t="str">
        <x:v>单身团、私家团、DIY当前可成交价</x:v>
      </x:c>
      <x:c r="C50" s="20" t="str">
        <x:v>研究＋Olivia</x:v>
      </x:c>
      <x:c r="D50" s="20" t="str">
        <x:v>未取得匹配报价</x:v>
      </x:c>
      <x:c r="E50" s="20" t="str">
        <x:v>已锁定比较条件；历史套餐不替代现行报价</x:v>
      </x:c>
    </x:row>
    <x:row r="51" ht="70" customHeight="1">
      <x:c r="A51" s="20" t="str">
        <x:v>婚恋主导第二完整旅行案例</x:v>
      </x:c>
      <x:c r="B51" s="20" t="str">
        <x:v>我主良缘派聚与独立门店旅行的当前商品及实际出行</x:v>
      </x:c>
      <x:c r="C51" s="20" t="str">
        <x:v>研究</x:v>
      </x:c>
      <x:c r="D51" s="20" t="str">
        <x:v>部分完成</x:v>
      </x:c>
      <x:c r="E51" s="20" t="str">
        <x:v>钻石只有山野招募；派聚只有品牌入口，尚不能凑成两家完整旅行案例</x:v>
      </x:c>
    </x:row>
    <x:row r="52" ht="70" customHeight="1">
      <x:c r="A52" s="20" t="str">
        <x:v>社群主导两家完整旅行案例</x:v>
      </x:c>
      <x:c r="B52" s="20" t="str">
        <x:v>BoL与大超当前在售旅行、收款、承办和复购</x:v>
      </x:c>
      <x:c r="C52" s="20" t="str">
        <x:v>研究</x:v>
      </x:c>
      <x:c r="D52" s="20" t="str">
        <x:v>未取得</x:v>
      </x:c>
      <x:c r="E52" s="20" t="str">
        <x:v>保留主案例作活动及获客参照，不冒充已跑通旅行业务</x:v>
      </x:c>
    </x:row>
    <x:row r="53" ht="70" customHeight="1">
      <x:c r="A53" s="20" t="str">
        <x:v>旅行社两家完整单团档案</x:v>
      </x:c>
      <x:c r="B53" s="20" t="str">
        <x:v>32号及游侠客具体产品价格、合同、日程、成团与回访</x:v>
      </x:c>
      <x:c r="C53" s="20" t="str">
        <x:v>研究</x:v>
      </x:c>
      <x:c r="D53" s="20" t="str">
        <x:v>部分完成</x:v>
      </x:c>
      <x:c r="E53" s="20" t="str">
        <x:v>主体与产品模式可核，当前同线路商品与实收人数待补</x:v>
      </x:c>
    </x:row>
    <x:row r="54" ht="70" customHeight="1">
      <x:c r="A54" s="20" t="str">
        <x:v>客户访谈</x:v>
      </x:c>
      <x:c r="B54" s="20" t="str">
        <x:v>建议12位：首轮单身男女各4位，商务潜客4位</x:v>
      </x:c>
      <x:c r="C54" s="20" t="str">
        <x:v>Olivia</x:v>
      </x:c>
      <x:c r="D54" s="20" t="str">
        <x:v>未开始</x:v>
      </x:c>
      <x:c r="E54" s="20" t="str">
        <x:v>先问过去一年真实消费；再问具体时间、价格与同行条件。访谈不等于代表性调查</x:v>
      </x:c>
    </x:row>
    <x:row r="55" ht="70" customHeight="1">
      <x:c r="A55" s="20" t="str">
        <x:v>合作资源</x:v>
      </x:c>
      <x:c r="B55" s="20" t="str">
        <x:v>酒店、车辆、场地、导师、客户来源</x:v>
      </x:c>
      <x:c r="C55" s="20" t="str">
        <x:v>格格＋Olivia</x:v>
      </x:c>
      <x:c r="D55" s="20" t="str">
        <x:v>目前无已确认资源</x:v>
      </x:c>
      <x:c r="E55" s="20" t="str">
        <x:v>用户10月23日确认暂无；全部按需协商，不计免费资源</x:v>
      </x:c>
    </x:row>
    <x:row r="56" ht="70" customHeight="1">
      <x:c r="A56" s="20" t="str">
        <x:v>启动资质与合同</x:v>
      </x:c>
      <x:c r="B56" s="20" t="str">
        <x:v>旅行经营责任、社群服务边界、隐私及退款</x:v>
      </x:c>
      <x:c r="C56" s="20" t="str">
        <x:v>合伙人＋拟承办方</x:v>
      </x:c>
      <x:c r="D56" s="20" t="str">
        <x:v>待核实</x:v>
      </x:c>
      <x:c r="E56" s="20" t="str">
        <x:v>确定旅行社合同、收款与责任分配后再招募，不把成本预留当合同规则</x:v>
      </x:c>
    </x:row>
    <x:row r="57" ht="70" customHeight="1">
      <x:c r="A57" s="20" t="str">
        <x:v>价格验证</x:v>
      </x:c>
      <x:c r="B57" s="20" t="str">
        <x:v>晚宴1680、分享680、旅行19800是否愿付</x:v>
      </x:c>
      <x:c r="C57" s="20" t="str">
        <x:v>Olivia</x:v>
      </x:c>
      <x:c r="D57" s="20" t="str">
        <x:v>研究试价</x:v>
      </x:c>
      <x:c r="E57" s="20" t="str">
        <x:v>仅成本结构可算；尚无客户承诺</x:v>
      </x:c>
    </x:row>
    <x:row r="58" ht="70" customHeight="1">
      <x:c r="A58" s="20" t="str">
        <x:v>BoL案例身份</x:v>
      </x:c>
      <x:c r="B58" s="20" t="str">
        <x:v>会议中深圳案例是否BoL／BoL Selected</x:v>
      </x:c>
      <x:c r="C58" s="20" t="str">
        <x:v>Olivia</x:v>
      </x:c>
      <x:c r="D58" s="20" t="str">
        <x:v>已确认</x:v>
      </x:c>
      <x:c r="E58" s="20" t="str">
        <x:v>2026年10月23日本聊天确认；经营数据仍缺</x:v>
      </x:c>
    </x:row>
    <x:row r="59" ht="70" customHeight="1">
      <x:c r="A59" s="20" t="str">
        <x:v>平台数据更新</x:v>
      </x:c>
      <x:c r="B59" s="20" t="str">
        <x:v>既有五家粉丝及互动快照是否变化</x:v>
      </x:c>
      <x:c r="C59" s="20" t="str">
        <x:v>研究</x:v>
      </x:c>
      <x:c r="D59" s="20" t="str">
        <x:v>前轮10月22日快照复用</x:v>
      </x:c>
      <x:c r="E59" s="20" t="str">
        <x:v>本轮以公开官网和产品复核为主，没有宣称新抓90天平台数据</x:v>
      </x:c>
    </x:row>
  </x:sheetData>
  <x:hyperlinks>
    <x:hyperlink xmlns:ns1="http://schemas.openxmlformats.org/officeDocument/2006/relationships" ref="F6" ns1:id="rIdResearch1"/>
    <x:hyperlink xmlns:ns2="http://schemas.openxmlformats.org/officeDocument/2006/relationships" ref="F7" ns2:id="rIdResearch2"/>
    <x:hyperlink xmlns:ns3="http://schemas.openxmlformats.org/officeDocument/2006/relationships" ref="F8" ns3:id="rIdResearch3"/>
    <x:hyperlink xmlns:ns4="http://schemas.openxmlformats.org/officeDocument/2006/relationships" ref="F9" ns4:id="rIdResearch4"/>
    <x:hyperlink xmlns:ns5="http://schemas.openxmlformats.org/officeDocument/2006/relationships" ref="F10" ns5:id="rIdResearch5"/>
    <x:hyperlink xmlns:ns6="http://schemas.openxmlformats.org/officeDocument/2006/relationships" ref="F11" ns6:id="rIdResearch6"/>
    <x:hyperlink xmlns:ns7="http://schemas.openxmlformats.org/officeDocument/2006/relationships" ref="F12" ns7:id="rIdResearch7"/>
    <x:hyperlink xmlns:ns8="http://schemas.openxmlformats.org/officeDocument/2006/relationships" ref="F13" ns8:id="rIdResearch8"/>
    <x:hyperlink xmlns:ns9="http://schemas.openxmlformats.org/officeDocument/2006/relationships" ref="F14" ns9:id="rIdResearch9"/>
    <x:hyperlink xmlns:ns10="http://schemas.openxmlformats.org/officeDocument/2006/relationships" ref="F15" ns10:id="rIdResearch10"/>
    <x:hyperlink xmlns:ns11="http://schemas.openxmlformats.org/officeDocument/2006/relationships" ref="F16" ns11:id="rIdResearch11"/>
    <x:hyperlink xmlns:ns12="http://schemas.openxmlformats.org/officeDocument/2006/relationships" ref="F17" ns12:id="rIdResearch12"/>
    <x:hyperlink xmlns:ns13="http://schemas.openxmlformats.org/officeDocument/2006/relationships" ref="F18" ns13:id="rIdResearch13"/>
    <x:hyperlink xmlns:ns14="http://schemas.openxmlformats.org/officeDocument/2006/relationships" ref="F19" ns14:id="rIdResearch14"/>
    <x:hyperlink xmlns:ns15="http://schemas.openxmlformats.org/officeDocument/2006/relationships" ref="F21" ns15:id="rIdResearch15"/>
    <x:hyperlink xmlns:ns16="http://schemas.openxmlformats.org/officeDocument/2006/relationships" ref="F22" ns16:id="rIdResearch16"/>
    <x:hyperlink xmlns:ns17="http://schemas.openxmlformats.org/officeDocument/2006/relationships" ref="F23" ns17:id="rIdResearch17"/>
    <x:hyperlink xmlns:ns18="http://schemas.openxmlformats.org/officeDocument/2006/relationships" ref="F24" ns18:id="rIdResearch18"/>
    <x:hyperlink xmlns:ns19="http://schemas.openxmlformats.org/officeDocument/2006/relationships" ref="F25" ns19:id="rIdResearch19"/>
    <x:hyperlink xmlns:ns20="http://schemas.openxmlformats.org/officeDocument/2006/relationships" ref="F26" ns20:id="rIdResearch20"/>
    <x:hyperlink xmlns:ns21="http://schemas.openxmlformats.org/officeDocument/2006/relationships" ref="F27" ns21:id="rIdResearch21"/>
    <x:hyperlink xmlns:ns22="http://schemas.openxmlformats.org/officeDocument/2006/relationships" ref="F28" ns22:id="rIdResearch22"/>
    <x:hyperlink xmlns:ns23="http://schemas.openxmlformats.org/officeDocument/2006/relationships" ref="F29" ns23:id="rIdResearch23"/>
    <x:hyperlink xmlns:ns24="http://schemas.openxmlformats.org/officeDocument/2006/relationships" ref="F30" ns24:id="rIdResearch24"/>
    <x:hyperlink xmlns:ns25="http://schemas.openxmlformats.org/officeDocument/2006/relationships" ref="F31" ns25:id="rIdResearch25"/>
    <x:hyperlink xmlns:ns26="http://schemas.openxmlformats.org/officeDocument/2006/relationships" ref="F32" ns26:id="rIdResearch26"/>
    <x:hyperlink xmlns:ns27="http://schemas.openxmlformats.org/officeDocument/2006/relationships" ref="F33" ns27:id="rIdResearch27"/>
    <x:hyperlink xmlns:ns28="http://schemas.openxmlformats.org/officeDocument/2006/relationships" ref="F34" ns28:id="rIdResearch28"/>
    <x:hyperlink xmlns:ns29="http://schemas.openxmlformats.org/officeDocument/2006/relationships" ref="F35" ns29:id="rIdResearch29"/>
    <x:hyperlink xmlns:ns30="http://schemas.openxmlformats.org/officeDocument/2006/relationships" ref="F36" ns30:id="rIdResearch30"/>
    <x:hyperlink xmlns:ns31="http://schemas.openxmlformats.org/officeDocument/2006/relationships" ref="F37" ns31:id="rIdResearch31"/>
    <x:hyperlink xmlns:ns32="http://schemas.openxmlformats.org/officeDocument/2006/relationships" ref="F38" ns32:id="rIdResearch32"/>
    <x:hyperlink xmlns:ns33="http://schemas.openxmlformats.org/officeDocument/2006/relationships" ref="F39" ns33:id="rIdResearch33"/>
    <x:hyperlink xmlns:ns34="http://schemas.openxmlformats.org/officeDocument/2006/relationships" ref="F40" ns34:id="rIdResearch34"/>
    <x:hyperlink xmlns:ns35="http://schemas.openxmlformats.org/officeDocument/2006/relationships" ref="F41" ns35:id="rIdResearch35"/>
    <x:hyperlink xmlns:ns36="http://schemas.openxmlformats.org/officeDocument/2006/relationships" ref="F42" ns36:id="rIdResearch36"/>
    <x:hyperlink xmlns:ns37="http://schemas.openxmlformats.org/officeDocument/2006/relationships" ref="F43" ns37:id="rIdResearch37"/>
    <x:hyperlink xmlns:ns38="http://schemas.openxmlformats.org/officeDocument/2006/relationships" ref="F44" ns38:id="rIdResearch38"/>
  </x:hyperlinks>
  <x:pageMargins left="0.7" right="0.7" top="0.75" bottom="0.75" header="0.3" footer="0.3"/>
  <x:tableParts count="1">
    <x:tablePart xmlns:r="http://schemas.openxmlformats.org/officeDocument/2006/relationships" r:id="R2039664e1ca541bd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30" hidden="0" customWidth="1"/>
    <x:col min="2" max="2" width="28" hidden="0" customWidth="1"/>
    <x:col min="3" max="3" width="28" hidden="0" customWidth="1"/>
    <x:col min="4" max="4" width="55" hidden="0" customWidth="1"/>
    <x:col min="5" max="5" width="55" hidden="0" customWidth="1"/>
    <x:col min="6" max="6" width="50" hidden="0" customWidth="1"/>
  </x:cols>
  <x:sheetData>
    <x:row r="1">
      <x:c r="A1" s="2"/>
      <x:c r="B1" s="2"/>
      <x:c r="C1" s="2"/>
      <x:c r="D1" s="2"/>
      <x:c r="E1" s="2"/>
      <x:c r="F1" s="2"/>
    </x:row>
    <x:row r="2" ht="34" customHeight="1">
      <x:c r="A2" s="3" t="str">
        <x:v>既有36家机构及本轮用途</x:v>
      </x:c>
      <x:c r="B2" s="2"/>
      <x:c r="C2" s="2"/>
      <x:c r="D2" s="2"/>
      <x:c r="E2" s="2"/>
      <x:c r="F2" s="2"/>
    </x:row>
    <x:row r="3">
      <x:c r="A3" s="2"/>
      <x:c r="B3" s="2"/>
      <x:c r="C3" s="2"/>
      <x:c r="D3" s="2"/>
      <x:c r="E3" s="2"/>
      <x:c r="F3" s="2"/>
    </x:row>
    <x:row r="4">
      <x:c r="A4" s="2"/>
      <x:c r="B4" s="2"/>
      <x:c r="C4" s="2"/>
      <x:c r="D4" s="2"/>
      <x:c r="E4" s="2"/>
      <x:c r="F4" s="2"/>
    </x:row>
    <x:row r="5" ht="34" customHeight="1">
      <x:c r="A5" s="7" t="str">
        <x:v>机构</x:v>
      </x:c>
      <x:c r="B5" s="7" t="str">
        <x:v>组织方式</x:v>
      </x:c>
      <x:c r="C5" s="7" t="str">
        <x:v>地区</x:v>
      </x:c>
      <x:c r="D5" s="7" t="str">
        <x:v>目标客户</x:v>
      </x:c>
      <x:c r="E5" s="7" t="str">
        <x:v>本轮用途</x:v>
      </x:c>
      <x:c r="F5" s="7" t="str">
        <x:v>原文</x:v>
      </x:c>
    </x:row>
    <x:row r="6" ht="40" customHeight="1">
      <x:c r="A6" s="10" t="str">
        <x:v>钻石婚恋／钻石精英会</x:v>
      </x:c>
      <x:c r="B6" s="10" t="str">
        <x:v>高净值婚恋定制与单身圈层</x:v>
      </x:c>
      <x:c r="C6" s="10" t="str">
        <x:v>上海及异地服务</x:v>
      </x:c>
      <x:c r="D6" s="10" t="str">
        <x:v>官网定义个人或家庭财产1000万元以上或个人条件极优秀；活动各自有准入条件</x:v>
      </x:c>
      <x:c r="E6" s="10" t="str">
        <x:v>婚恋专项优先；按本轮产品重新筛选</x:v>
      </x:c>
      <x:c r="F6" s="10" t="str">
        <x:v>https://www.zuanshi.com/new/loveCustomization</x:v>
      </x:c>
    </x:row>
    <x:row r="7" ht="40" customHeight="1">
      <x:c r="A7" s="9" t="str">
        <x:v>北京香港马会会所</x:v>
      </x:c>
      <x:c r="B7" s="9" t="str">
        <x:v>综合会员会所</x:v>
      </x:c>
      <x:c r="C7" s="9" t="str">
        <x:v>北京、跨地设施</x:v>
      </x:c>
      <x:c r="D7" s="9" t="str">
        <x:v>个人会籍使用人、公司提名使用人及家属；分别解决接待、康体与家庭活动需求。</x:v>
      </x:c>
      <x:c r="E7" s="9" t="str">
        <x:v>成熟产品体系参考，不能推定启动售价</x:v>
      </x:c>
      <x:c r="F7" s="9" t="str">
        <x:v>https://members.hkjc.com/about-membership/en-US/Membership</x:v>
      </x:c>
    </x:row>
    <x:row r="8" ht="40" customHeight="1">
      <x:c r="A8" s="10" t="str">
        <x:v>EO中国华东分会</x:v>
      </x:c>
      <x:c r="B8" s="10" t="str">
        <x:v>企业家固定小组</x:v>
      </x:c>
      <x:c r="C8" s="10" t="str">
        <x:v>中国华东</x:v>
      </x:c>
      <x:c r="D8" s="10" t="str">
        <x:v>符合企业营收及创始人、所有者条件的经营者；全球另有配偶及生活伴侣小组。</x:v>
      </x:c>
      <x:c r="E8" s="10" t="str">
        <x:v>补充参考；按本轮产品重新筛选</x:v>
      </x:c>
      <x:c r="F8" s="10" t="str">
        <x:v>https://member.eonetwork.org/chinaeast/about-our-chapter/</x:v>
      </x:c>
    </x:row>
    <x:row r="9" ht="40" customHeight="1">
      <x:c r="A9" s="9" t="str">
        <x:v>长江商学院</x:v>
      </x:c>
      <x:c r="B9" s="9" t="str">
        <x:v>商学院与校友组织</x:v>
      </x:c>
      <x:c r="C9" s="9" t="str">
        <x:v>全国及海外模块</x:v>
      </x:c>
      <x:c r="D9" s="9" t="str">
        <x:v>官方称EMBA累计学员99%以上为企业核心决策层；通过教育选拔建立长期同学关系。</x:v>
      </x:c>
      <x:c r="E9" s="9" t="str">
        <x:v>成熟产品体系参考，不能推定启动售价</x:v>
      </x:c>
      <x:c r="F9" s="9" t="str">
        <x:v>https://www.ckgsb.com/emba/common_problems/</x:v>
      </x:c>
    </x:row>
    <x:row r="10" ht="40" customHeight="1">
      <x:c r="A10" s="10" t="str">
        <x:v>木兰汇</x:v>
      </x:c>
      <x:c r="B10" s="10" t="str">
        <x:v>女性企业家社群</x:v>
      </x:c>
      <x:c r="C10" s="10" t="str">
        <x:v>全国</x:v>
      </x:c>
      <x:c r="D10" s="10" t="str">
        <x:v>女性企业家与商业经营者；官方2026介绍近1000位成员，112位核心成员企业市值或估值20亿元以上。</x:v>
      </x:c>
      <x:c r="E10" s="10" t="str">
        <x:v>持续社群主要参考；按本轮产品重新筛选</x:v>
      </x:c>
      <x:c r="F10" s="10" t="str">
        <x:v>https://www.iceo.com.cn/zt/2026_mulannh/</x:v>
      </x:c>
    </x:row>
    <x:row r="11" ht="40" customHeight="1">
      <x:c r="A11" s="9" t="str">
        <x:v>京城俱乐部</x:v>
      </x:c>
      <x:c r="B11" s="9" t="str">
        <x:v>综合会员会所</x:v>
      </x:c>
      <x:c r="C11" s="9" t="str">
        <x:v>北京</x:v>
      </x:c>
      <x:c r="D11" s="9" t="str">
        <x:v>在北京有商务接待、跨国交流和家庭休闲需求的商务人士；官网同时服务会员家人。</x:v>
      </x:c>
      <x:c r="E11" s="9" t="str">
        <x:v>补充参考；按本轮产品重新筛选</x:v>
      </x:c>
      <x:c r="F11" s="9" t="str">
        <x:v>https://thecapitalclub.com/zh-hans/julebulishi/</x:v>
      </x:c>
    </x:row>
    <x:row r="12" ht="40" customHeight="1">
      <x:c r="A12" s="10" t="str">
        <x:v>HIGHER CLUB</x:v>
      </x:c>
      <x:c r="B12" s="10" t="str">
        <x:v>精选年轻会员社群</x:v>
      </x:c>
      <x:c r="C12" s="10" t="str">
        <x:v>杭州、上海及跨城</x:v>
      </x:c>
      <x:c r="D12" s="10" t="str">
        <x:v>官网称成员以16—25岁企业家二代为主，有海外学习背景；这是机构描述，非独立客户调查。</x:v>
      </x:c>
      <x:c r="E12" s="10" t="str">
        <x:v>补充参考；按本轮产品重新筛选</x:v>
      </x:c>
      <x:c r="F12" s="10" t="str">
        <x:v>https://www.higherclub.cn/</x:v>
      </x:c>
    </x:row>
    <x:row r="13" ht="40" customHeight="1">
      <x:c r="A13" s="9" t="str">
        <x:v>黑骑士球员俱乐部</x:v>
      </x:c>
      <x:c r="B13" s="9" t="str">
        <x:v>高尔夫与生活会员</x:v>
      </x:c>
      <x:c r="C13" s="9" t="str">
        <x:v>深圳</x:v>
      </x:c>
      <x:c r="D13" s="9" t="str">
        <x:v>按打球、居住及纯社交需求分层的球会申请者；官网未公开实际客户年龄及财富分布。</x:v>
      </x:c>
      <x:c r="E13" s="9" t="str">
        <x:v>补充参考；按本轮产品重新筛选</x:v>
      </x:c>
      <x:c r="F13" s="9" t="str">
        <x:v>https://www.tpc.com.cn/membership</x:v>
      </x:c>
    </x:row>
    <x:row r="14" ht="40" customHeight="1">
      <x:c r="A14" s="10" t="str">
        <x:v>观澜湖</x:v>
      </x:c>
      <x:c r="B14" s="10" t="str">
        <x:v>运动与生活方式会员</x:v>
      </x:c>
      <x:c r="C14" s="10" t="str">
        <x:v>深圳、东莞</x:v>
      </x:c>
      <x:c r="D14" s="10" t="str">
        <x:v>已有球会会员及12岁以上业余球手；赛事按年龄、性别和差点分组，另有家庭兴趣活动。</x:v>
      </x:c>
      <x:c r="E14" s="10" t="str">
        <x:v>补充参考；按本轮产品重新筛选</x:v>
      </x:c>
      <x:c r="F14" s="10" t="str">
        <x:v>https://www.missionhillschina.com/golfathon/</x:v>
      </x:c>
    </x:row>
    <x:row r="15" ht="40" customHeight="1">
      <x:c r="A15" s="9" t="str">
        <x:v>南沙游艇会</x:v>
      </x:c>
      <x:c r="B15" s="9" t="str">
        <x:v>航海与家庭会员</x:v>
      </x:c>
      <x:c r="C15" s="9" t="str">
        <x:v>广州南沙</x:v>
      </x:c>
      <x:c r="D15" s="9" t="str">
        <x:v>有帆船、游艇租赁或泊位需求的人，以及希望一家人使用泳池健身和参加主题活动的客户；个人与公司分别申请。</x:v>
      </x:c>
      <x:c r="E15" s="9" t="str">
        <x:v>补充参考；按本轮产品重新筛选</x:v>
      </x:c>
      <x:c r="F15" s="9" t="str">
        <x:v>https://www.nanshamarina.com/membership/128.html</x:v>
      </x:c>
    </x:row>
    <x:row r="16" ht="40" customHeight="1">
      <x:c r="A16" s="10" t="str">
        <x:v>上海罗斯福会所</x:v>
      </x:c>
      <x:c r="B16" s="10" t="str">
        <x:v>葡萄酒雪茄与私人会所</x:v>
      </x:c>
      <x:c r="C16" s="10" t="str">
        <x:v>上海</x:v>
      </x:c>
      <x:c r="D16" s="10" t="str">
        <x:v>有私人宴请、葡萄酒与雪茄兴趣的商务及生活方式客户；另接待互惠球会持卡会员。</x:v>
      </x:c>
      <x:c r="E16" s="10" t="str">
        <x:v>补充参考；按本轮产品重新筛选</x:v>
      </x:c>
      <x:c r="F16" s="10" t="str">
        <x:v>https://www.rbsc.org/member-benefits/roosevelt-club-shanghai/</x:v>
      </x:c>
    </x:row>
    <x:row r="17" ht="55" customHeight="1">
      <x:c r="A17" s="9" t="str">
        <x:v>伟事达中国</x:v>
      </x:c>
      <x:c r="B17" s="9" t="str">
        <x:v>教练与私人董事会</x:v>
      </x:c>
      <x:c r="C17" s="9" t="str">
        <x:v>全国／本地小组</x:v>
      </x:c>
      <x:c r="D17" s="9" t="str">
        <x:v>CE面向最高决策者，服务业年收入3000万元、25人起或商贸制造1亿元、50人起；SE面向更早期经营者；KE面向关键高管。</x:v>
      </x:c>
      <x:c r="E17" s="9" t="str">
        <x:v>补充参考；按本轮产品重新筛选</x:v>
      </x:c>
      <x:c r="F17" s="9" t="str">
        <x:v>https://www.oldchair.cn/wsdhy_jiage</x:v>
      </x:c>
    </x:row>
    <x:row r="18" ht="40" customHeight="1">
      <x:c r="A18" s="10" t="str">
        <x:v>领教工坊</x:v>
      </x:c>
      <x:c r="B18" s="10" t="str">
        <x:v>私人董事会</x:v>
      </x:c>
      <x:c r="C18" s="10" t="str">
        <x:v>中国主要城市</x:v>
      </x:c>
      <x:c r="D18" s="10" t="str">
        <x:v>希望讨论经营、领导力与个人家庭问题的民营企业掌舵人；同组避免直接竞争。</x:v>
      </x:c>
      <x:c r="E18" s="10" t="str">
        <x:v>补充参考；按本轮产品重新筛选</x:v>
      </x:c>
      <x:c r="F18" s="10" t="str">
        <x:v>https://www.clec.com.cn/p/sirendongshihui.html</x:v>
      </x:c>
    </x:row>
    <x:row r="19" ht="55" customHeight="1">
      <x:c r="A19" s="9" t="str">
        <x:v>YPO</x:v>
      </x:c>
      <x:c r="B19" s="9" t="str">
        <x:v>全球企业领导者会员组织</x:v>
      </x:c>
      <x:c r="C19" s="9" t="str">
        <x:v>全球及中国分会</x:v>
      </x:c>
      <x:c r="D19" s="9" t="str">
        <x:v>一般准入要求45岁前加入、最高经营负责人并承担损益与人事决策；企业销售收入等规模门槛另列，不按个人资产入会。</x:v>
      </x:c>
      <x:c r="E19" s="9" t="str">
        <x:v>补充参考；按本轮产品重新筛选</x:v>
      </x:c>
      <x:c r="F19" s="9" t="str">
        <x:v>https://www.ypo.org/become-a-member/</x:v>
      </x:c>
    </x:row>
    <x:row r="20" ht="40" customHeight="1">
      <x:c r="A20" s="10" t="str">
        <x:v>中国企业家俱乐部</x:v>
      </x:c>
      <x:c r="B20" s="10" t="str">
        <x:v>企业家理事与企业网络</x:v>
      </x:c>
      <x:c r="C20" s="10" t="str">
        <x:v>全国</x:v>
      </x:c>
      <x:c r="D20" s="10" t="str">
        <x:v>主要企业创始人及核心决策者；理事层与绿色公司联盟应分开看。</x:v>
      </x:c>
      <x:c r="E20" s="10" t="str">
        <x:v>补充参考；按本轮产品重新筛选</x:v>
      </x:c>
      <x:c r="F20" s="10" t="str">
        <x:v>https://www.daonong.com/about</x:v>
      </x:c>
    </x:row>
    <x:row r="21" ht="40" customHeight="1">
      <x:c r="A21" s="9" t="str">
        <x:v>创合汇</x:v>
      </x:c>
      <x:c r="B21" s="9" t="str">
        <x:v>学习与多主题社群</x:v>
      </x:c>
      <x:c r="C21" s="9" t="str">
        <x:v>全国</x:v>
      </x:c>
      <x:c r="D21" s="9" t="str">
        <x:v>创投俱乐部面向年营收500万元以上的创始人、联合创始人、合伙人和CEO；战略工作坊以企业高管团队为单位。</x:v>
      </x:c>
      <x:c r="E21" s="9" t="str">
        <x:v>补充参考；按本轮产品重新筛选</x:v>
      </x:c>
      <x:c r="F21" s="9" t="str">
        <x:v>https://www.chuanghehui.com/view/club</x:v>
      </x:c>
    </x:row>
    <x:row r="22" ht="40" customHeight="1">
      <x:c r="A22" s="10" t="str">
        <x:v>亚布力中国企业家论坛</x:v>
      </x:c>
      <x:c r="B22" s="10" t="str">
        <x:v>企业家论坛及会员网络</x:v>
      </x:c>
      <x:c r="C22" s="10" t="str">
        <x:v>全国</x:v>
      </x:c>
      <x:c r="D22" s="10" t="str">
        <x:v>企业创始人、董事长及经营负责人；官网理事名录和历届论坛嘉宾可核对其商业角色。</x:v>
      </x:c>
      <x:c r="E22" s="10" t="str">
        <x:v>补充参考；按本轮产品重新筛选</x:v>
      </x:c>
      <x:c r="F22" s="10" t="str">
        <x:v>https://www.cefco.cn/phone/cooperation/index.html</x:v>
      </x:c>
    </x:row>
    <x:row r="23" ht="40" customHeight="1">
      <x:c r="A23" s="9" t="str">
        <x:v>德申汇</x:v>
      </x:c>
      <x:c r="B23" s="9" t="str">
        <x:v>分区商务俱乐部</x:v>
      </x:c>
      <x:c r="C23" s="9" t="str">
        <x:v>全国及跨境</x:v>
      </x:c>
      <x:c r="D23" s="9" t="str">
        <x:v>有真实企业身份、希望拓展经营联系的经营者；平台要求真实填写企业认证，不以A8为公开统一门槛。</x:v>
      </x:c>
      <x:c r="E23" s="9" t="str">
        <x:v>补充参考；按本轮产品重新筛选</x:v>
      </x:c>
      <x:c r="F23" s="9" t="str">
        <x:v>https://detion.com/news/3527</x:v>
      </x:c>
    </x:row>
    <x:row r="24" ht="40" customHeight="1">
      <x:c r="A24" s="10" t="str">
        <x:v>中欧国际工商学院</x:v>
      </x:c>
      <x:c r="B24" s="10" t="str">
        <x:v>商学院学习与校友组织</x:v>
      </x:c>
      <x:c r="C24" s="10" t="str">
        <x:v>上海、北京、深圳及海外</x:v>
      </x:c>
      <x:c r="D24" s="10" t="str">
        <x:v>HEMBA披露过半学员为创业者或来自家族企业，前三行业智能制造、信息科技、医疗健康；MBA与EMBA客群分别看。</x:v>
      </x:c>
      <x:c r="E24" s="10" t="str">
        <x:v>补充参考；按本轮产品重新筛选</x:v>
      </x:c>
      <x:c r="F24" s="10" t="str">
        <x:v>https://cn.ceibs.edu/gemba/tuition-fees</x:v>
      </x:c>
    </x:row>
    <x:row r="25" ht="40" customHeight="1">
      <x:c r="A25" s="9" t="str">
        <x:v>北大汇丰EDP</x:v>
      </x:c>
      <x:c r="B25" s="9" t="str">
        <x:v>高管教育与校友兴趣组织</x:v>
      </x:c>
      <x:c r="C25" s="9" t="str">
        <x:v>深圳及异地活动</x:v>
      </x:c>
      <x:c r="D25" s="9" t="str">
        <x:v>参加具体EDP课程的企业经营者和高管及其校友；跑团活动另开放6—16岁亲子组。</x:v>
      </x:c>
      <x:c r="E25" s="9" t="str">
        <x:v>补充参考；按本轮产品重新筛选</x:v>
      </x:c>
      <x:c r="F25" s="9" t="str">
        <x:v>https://edp.phbs.pku.edu.cn/info/1271/13221.htm</x:v>
      </x:c>
    </x:row>
    <x:row r="26" ht="40" customHeight="1">
      <x:c r="A26" s="10" t="str">
        <x:v>清华五道口</x:v>
      </x:c>
      <x:c r="B26" s="10" t="str">
        <x:v>金融高管教育与校友组织</x:v>
      </x:c>
      <x:c r="C26" s="10" t="str">
        <x:v>北京及异地模块</x:v>
      </x:c>
      <x:c r="D26" s="10" t="str">
        <x:v>金融机构高管、企业经营者；金融EMBA及一带一路等课程各有对象，不能混用学员比例。</x:v>
      </x:c>
      <x:c r="E26" s="10" t="str">
        <x:v>补充参考；按本轮产品重新筛选</x:v>
      </x:c>
      <x:c r="F26" s="10" t="str">
        <x:v>https://emba.pbcsf.tsinghua.edu.cn/index.htm</x:v>
      </x:c>
    </x:row>
    <x:row r="27" ht="40" customHeight="1">
      <x:c r="A27" s="9" t="str">
        <x:v>交大高金</x:v>
      </x:c>
      <x:c r="B27" s="9" t="str">
        <x:v>金融EMBA与校友组织</x:v>
      </x:c>
      <x:c r="C27" s="9" t="str">
        <x:v>上海</x:v>
      </x:c>
      <x:c r="D27" s="9" t="str">
        <x:v>有资历的企业高管及经营者，购买金融与综合管理教育；个人财富和婚姻状态非本次可确认画像。</x:v>
      </x:c>
      <x:c r="E27" s="9" t="str">
        <x:v>补充参考；按本轮产品重新筛选</x:v>
      </x:c>
      <x:c r="F27" s="9" t="str">
        <x:v>https://emba.saif.sjtu.edu.cn/emba_mobile/content/show/236-887.html</x:v>
      </x:c>
    </x:row>
    <x:row r="28" ht="40" customHeight="1">
      <x:c r="A28" s="10" t="str">
        <x:v>上海财经大学商学院</x:v>
      </x:c>
      <x:c r="B28" s="10" t="str">
        <x:v>金融EMBA与校友组织</x:v>
      </x:c>
      <x:c r="C28" s="10" t="str">
        <x:v>上海</x:v>
      </x:c>
      <x:c r="D28" s="10" t="str">
        <x:v>2026金融EMBA面向企业经营者及金融或企业中高层；学历与工作年限按当届招生规则。</x:v>
      </x:c>
      <x:c r="E28" s="10" t="str">
        <x:v>补充参考；按本轮产品重新筛选</x:v>
      </x:c>
      <x:c r="F28" s="10" t="str">
        <x:v>https://cob.sufe.edu.cn/websites/MBA/Admissions/EMBA-Financial-2026/index.html</x:v>
      </x:c>
    </x:row>
    <x:row r="29" ht="40" customHeight="1">
      <x:c r="A29" s="9" t="str">
        <x:v>深商联</x:v>
      </x:c>
      <x:c r="B29" s="9" t="str">
        <x:v>地方企业与细分社群</x:v>
      </x:c>
      <x:c r="C29" s="9" t="str">
        <x:v>深圳</x:v>
      </x:c>
      <x:c r="D29" s="9" t="str">
        <x:v>深圳企业经营者；木棉会专门组织女性文化健康活动，菁英会面向年轻深商。</x:v>
      </x:c>
      <x:c r="E29" s="9" t="str">
        <x:v>补充参考；按本轮产品重新筛选</x:v>
      </x:c>
      <x:c r="F29" s="9" t="str">
        <x:v>https://www.shenshang.org/sgcc/about-sgcc</x:v>
      </x:c>
    </x:row>
    <x:row r="30" ht="40" customHeight="1">
      <x:c r="A30" s="10" t="str">
        <x:v>深圳市侨商国际联合会</x:v>
      </x:c>
      <x:c r="B30" s="10" t="str">
        <x:v>侨商身份与商业组织</x:v>
      </x:c>
      <x:c r="C30" s="10" t="str">
        <x:v>深圳</x:v>
      </x:c>
      <x:c r="D30" s="10" t="str">
        <x:v>在深圳注册投资的侨商、港澳及相关企业和个人，申请依身份与经营联系审核。</x:v>
      </x:c>
      <x:c r="E30" s="10" t="str">
        <x:v>补充参考；按本轮产品重新筛选</x:v>
      </x:c>
      <x:c r="F30" s="10" t="str">
        <x:v>https://www.socia.org/Member/user/Chamber.html</x:v>
      </x:c>
    </x:row>
    <x:row r="31" ht="40" customHeight="1">
      <x:c r="A31" s="9" t="str">
        <x:v>上海美国商会</x:v>
      </x:c>
      <x:c r="B31" s="9" t="str">
        <x:v>国际商务会员组织</x:v>
      </x:c>
      <x:c r="C31" s="9" t="str">
        <x:v>上海及长三角</x:v>
      </x:c>
      <x:c r="D31" s="9" t="str">
        <x:v>在中美有合法商业联系的公司；个人会员面向21岁以上在华外籍居民并需全职工作证明。</x:v>
      </x:c>
      <x:c r="E31" s="9" t="str">
        <x:v>补充参考；按本轮产品重新筛选</x:v>
      </x:c>
      <x:c r="F31" s="9" t="str">
        <x:v>https://www.amcham-shanghai.org/membership/resident</x:v>
      </x:c>
    </x:row>
    <x:row r="32" ht="40" customHeight="1">
      <x:c r="A32" s="10" t="str">
        <x:v>中国美国商会</x:v>
      </x:c>
      <x:c r="B32" s="10" t="str">
        <x:v>国际商务会员组织</x:v>
      </x:c>
      <x:c r="C32" s="10" t="str">
        <x:v>北京及中国多城市</x:v>
      </x:c>
      <x:c r="D32" s="10" t="str">
        <x:v>有中美商业联系的企业与在华经营负责人；公司、活动嘉宾及赞助伙伴需要分别识别。</x:v>
      </x:c>
      <x:c r="E32" s="10" t="str">
        <x:v>补充参考；按本轮产品重新筛选</x:v>
      </x:c>
      <x:c r="F32" s="10" t="str">
        <x:v>https://www.amchamchina.org/membership/</x:v>
      </x:c>
    </x:row>
    <x:row r="33" ht="40" customHeight="1">
      <x:c r="A33" s="9" t="str">
        <x:v>上海新沪商联合会</x:v>
      </x:c>
      <x:c r="B33" s="9" t="str">
        <x:v>企业家商会／历史收费参照</x:v>
      </x:c>
      <x:c r="C33" s="9" t="str">
        <x:v>上海</x:v>
      </x:c>
      <x:c r="D33" s="9" t="str">
        <x:v>以上海企业会员单位为基础，按普通会员、理事、副会长等组织职务分档。</x:v>
      </x:c>
      <x:c r="E33" s="9" t="str">
        <x:v>补充参考；按本轮产品重新筛选</x:v>
      </x:c>
      <x:c r="F33" s="9" t="str">
        <x:v>https://mzj.sh.gov.cn/MZ_shetuan748_0-2-3-357-732/20200520/MZ_shetuan748_141531.html</x:v>
      </x:c>
    </x:row>
    <x:row r="34" ht="40" customHeight="1">
      <x:c r="A34" s="10" t="str">
        <x:v>阿拉善SEE生态协会</x:v>
      </x:c>
      <x:c r="B34" s="10" t="str">
        <x:v>企业家公益会员组织</x:v>
      </x:c>
      <x:c r="C34" s="10" t="str">
        <x:v>全国地方项目</x:v>
      </x:c>
      <x:c r="D34" s="10" t="str">
        <x:v>愿意持续捐赠并亲身参与环保的企业家；共同任务是环保，社交与企业互访发生在共同参与中。</x:v>
      </x:c>
      <x:c r="E34" s="10" t="str">
        <x:v>补充参考；按本轮产品重新筛选</x:v>
      </x:c>
      <x:c r="F34" s="10" t="str">
        <x:v>https://conservation.see.org.cn/news/dynamic/2025/1203/12953.html</x:v>
      </x:c>
    </x:row>
    <x:row r="35" ht="145" customHeight="1">
      <x:c r="A35" s="9" t="str">
        <x:v>我主良缘</x:v>
      </x:c>
      <x:c r="B35" s="9" t="str">
        <x:v>专业婚恋与关系服务</x:v>
      </x:c>
      <x:c r="C35" s="9" t="str">
        <x:v>全国</x:v>
      </x:c>
      <x:c r="D35" s="9" t="str">
        <x:v>客户是有明确结婚打算、希望有人帮忙找对象的单身人士。官网列出的对象包括公务员、事业单位及国企员工、海归、金融从业者、企业主、教师、医护和企业高管。职业覆盖较广，公开资料未提供A8客户占比或统一资产准入标准。 它把服务拆成几件事：匹配师负责找人，情感指导师帮助沟通与交往，形象管理师负责外在呈现；派聚社交承接活动和旅行社交。这比单纯出售相亲名额更接近你们希望组合的产品。是否每份合同都同时配齐三种老师，要看具体购买内容。</x:v>
      </x:c>
      <x:c r="E35" s="9" t="str">
        <x:v>婚恋专项优先；按本轮产品重新筛选</x:v>
      </x:c>
      <x:c r="F35" s="9" t="str">
        <x:v>https://m.7799520.com/news/32674.html
https://www.7799520.com/about.html</x:v>
      </x:c>
    </x:row>
    <x:row r="36" ht="145" customHeight="1">
      <x:c r="A36" s="10" t="str">
        <x:v>金凤凰深港婚恋</x:v>
      </x:c>
      <x:c r="B36" s="10" t="str">
        <x:v>专业婚恋与关系服务</x:v>
      </x:c>
      <x:c r="C36" s="10" t="str">
        <x:v>深圳、香港及合作地区</x:v>
      </x:c>
      <x:c r="D36" s="10" t="str">
        <x:v>它在深圳经营婚介、红娘匹配和线下交友，官网介绍深圳业务于2004年设立。公开目标年龄22至70岁，覆盖白领、公务员、企业主及中老年、离异再婚需求。与它关联的婚姻家庭社工中心另做公益与家庭服务，商业婚介和公益服务不是同一个收入主体。 最具体的客户证据来自产品分层：高级VIP偏国内有房有车等条件，银卡扩展至港澳对象，金卡可安排香港见面，白金转为企业主、高管及猎头团队。它的区分重点是找什么样的人、去哪里找、由什么团队服务，未公开统一资产门槛。</x:v>
      </x:c>
      <x:c r="E36" s="10" t="str">
        <x:v>婚恋专项优先；按本轮产品重新筛选</x:v>
      </x:c>
      <x:c r="F36" s="10" t="str">
        <x:v>https://www.jfh999.com/about/1.html
https://www.jfh999.com/about/20.html</x:v>
      </x:c>
    </x:row>
    <x:row r="37" ht="115" customHeight="1">
      <x:c r="A37" s="9" t="str">
        <x:v>珍爱网</x:v>
      </x:c>
      <x:c r="B37" s="9" t="str">
        <x:v>专业婚恋与关系服务</x:v>
      </x:c>
      <x:c r="C37" s="9" t="str">
        <x:v>全国</x:v>
      </x:c>
      <x:c r="D37" s="9" t="str">
        <x:v>珍爱网通过网站和App吸引单身客户，销售线上功能及VIP红娘托管，核心购买理由是有人替自己筛选对象、沟通和安排见面。现行协议面向成年单身人士，也允许经子女知情同意的父母代为寻偶。它覆盖大众到定制婚恋，未公开A8专属客户的规模。 当前官网把红娘服务写成五步：沟通需求并开通方案、筛选推荐、红娘牵线、安排约会、跟进关系。这是本轮三家中较清楚的标准服务说明。</x:v>
      </x:c>
      <x:c r="E37" s="9" t="str">
        <x:v>补充参考；按本轮产品重新筛选</x:v>
      </x:c>
      <x:c r="F37" s="9" t="str">
        <x:v>https://www.zhenai.com/
https://i.zhenai.com/m/client/intro/agree.html</x:v>
      </x:c>
    </x:row>
    <x:row r="38" ht="40" customHeight="1">
      <x:c r="A38" s="10" t="str">
        <x:v>大超说媒</x:v>
      </x:c>
      <x:c r="B38" s="10" t="str">
        <x:v>婚恋：内容、活动、顾问</x:v>
      </x:c>
      <x:c r="C38" s="10" t="str">
        <x:v>全国／按场次城市</x:v>
      </x:c>
      <x:c r="D38" s="10" t="str">
        <x:v>有具体择偶困惑、希望本人咨询的单身客户；年龄、职业准入未披露</x:v>
      </x:c>
      <x:c r="E38" s="10" t="str">
        <x:v>婚恋专项优先；按本轮产品重新筛选</x:v>
      </x:c>
      <x:c r="F38" s="10" t="str">
        <x:v>https://www.douyin.com/user/MS4wLjABAAAAzS55hxJ4_NKjM9xZw8xHpGVx8sP-m2Bxy6ekRE2I7-Q</x:v>
      </x:c>
    </x:row>
    <x:row r="39" ht="40" customHeight="1">
      <x:c r="A39" s="9" t="str">
        <x:v>陌上花开HIMMR</x:v>
      </x:c>
      <x:c r="B39" s="9" t="str">
        <x:v>高学历婚恋社群</x:v>
      </x:c>
      <x:c r="C39" s="9" t="str">
        <x:v>全国／按场次城市</x:v>
      </x:c>
      <x:c r="D39" s="9" t="str">
        <x:v>官网定位985/211、海外QS100背景；金融、互联网、高校从业者；各商品的独立年龄及职业准入未披露</x:v>
      </x:c>
      <x:c r="E39" s="9" t="str">
        <x:v>婚恋专项优先；按本轮产品重新筛选</x:v>
      </x:c>
      <x:c r="F39" s="9" t="str">
        <x:v>https://www.himmr.tech/</x:v>
      </x:c>
    </x:row>
    <x:row r="40" ht="40" customHeight="1">
      <x:c r="A40" s="10" t="str">
        <x:v>青藤之恋</x:v>
      </x:c>
      <x:c r="B40" s="10" t="str">
        <x:v>互联网推荐＋AI牵线</x:v>
      </x:c>
      <x:c r="C40" s="10" t="str">
        <x:v>全国／按场次城市</x:v>
      </x:c>
      <x:c r="D40" s="10" t="str">
        <x:v>开发者定位名校毕业生、互联网从业者、体制内青年，寻求长期关系；无公开25—35岁等核心年龄统计</x:v>
      </x:c>
      <x:c r="E40" s="10" t="str">
        <x:v>补充参考；按本轮产品重新筛选</x:v>
      </x:c>
      <x:c r="F40" s="10" t="str">
        <x:v>https://apps.apple.com/cn/app/id1472343551</x:v>
      </x:c>
    </x:row>
    <x:row r="41" ht="40" customHeight="1">
      <x:c r="A41" s="9" t="str">
        <x:v>牵手</x:v>
      </x:c>
      <x:c r="B41" s="9" t="str">
        <x:v>恋爱匹配和约会工具</x:v>
      </x:c>
      <x:c r="C41" s="9" t="str">
        <x:v>全国／按场次城市</x:v>
      </x:c>
      <x:c r="D41" s="9" t="str">
        <x:v>认真恋爱的单身用户；产品按条件、性格、观念、生活方式匹配；核心年龄、实际职业占比未公开</x:v>
      </x:c>
      <x:c r="E41" s="9" t="str">
        <x:v>补充参考；按本轮产品重新筛选</x:v>
      </x:c>
      <x:c r="F41" s="9" t="str">
        <x:v>https://apps.apple.com/cn/app/id1475216610</x:v>
      </x:c>
    </x:row>
  </x:sheetData>
  <x:hyperlinks>
    <x:hyperlink xmlns:ns1="http://schemas.openxmlformats.org/officeDocument/2006/relationships" ref="F6" ns1:id="rIdResearch1"/>
    <x:hyperlink xmlns:ns2="http://schemas.openxmlformats.org/officeDocument/2006/relationships" ref="F7" ns2:id="rIdResearch2"/>
    <x:hyperlink xmlns:ns3="http://schemas.openxmlformats.org/officeDocument/2006/relationships" ref="F8" ns3:id="rIdResearch3"/>
    <x:hyperlink xmlns:ns4="http://schemas.openxmlformats.org/officeDocument/2006/relationships" ref="F9" ns4:id="rIdResearch4"/>
    <x:hyperlink xmlns:ns5="http://schemas.openxmlformats.org/officeDocument/2006/relationships" ref="F10" ns5:id="rIdResearch5"/>
    <x:hyperlink xmlns:ns6="http://schemas.openxmlformats.org/officeDocument/2006/relationships" ref="F11" ns6:id="rIdResearch6"/>
    <x:hyperlink xmlns:ns7="http://schemas.openxmlformats.org/officeDocument/2006/relationships" ref="F12" ns7:id="rIdResearch7"/>
    <x:hyperlink xmlns:ns8="http://schemas.openxmlformats.org/officeDocument/2006/relationships" ref="F13" ns8:id="rIdResearch8"/>
    <x:hyperlink xmlns:ns9="http://schemas.openxmlformats.org/officeDocument/2006/relationships" ref="F14" ns9:id="rIdResearch9"/>
    <x:hyperlink xmlns:ns10="http://schemas.openxmlformats.org/officeDocument/2006/relationships" ref="F15" ns10:id="rIdResearch10"/>
    <x:hyperlink xmlns:ns11="http://schemas.openxmlformats.org/officeDocument/2006/relationships" ref="F16" ns11:id="rIdResearch11"/>
    <x:hyperlink xmlns:ns12="http://schemas.openxmlformats.org/officeDocument/2006/relationships" ref="F17" ns12:id="rIdResearch12"/>
    <x:hyperlink xmlns:ns13="http://schemas.openxmlformats.org/officeDocument/2006/relationships" ref="F18" ns13:id="rIdResearch13"/>
    <x:hyperlink xmlns:ns14="http://schemas.openxmlformats.org/officeDocument/2006/relationships" ref="F19" ns14:id="rIdResearch14"/>
    <x:hyperlink xmlns:ns15="http://schemas.openxmlformats.org/officeDocument/2006/relationships" ref="F20" ns15:id="rIdResearch15"/>
    <x:hyperlink xmlns:ns16="http://schemas.openxmlformats.org/officeDocument/2006/relationships" ref="F21" ns16:id="rIdResearch16"/>
    <x:hyperlink xmlns:ns17="http://schemas.openxmlformats.org/officeDocument/2006/relationships" ref="F22" ns17:id="rIdResearch17"/>
    <x:hyperlink xmlns:ns18="http://schemas.openxmlformats.org/officeDocument/2006/relationships" ref="F23" ns18:id="rIdResearch18"/>
    <x:hyperlink xmlns:ns19="http://schemas.openxmlformats.org/officeDocument/2006/relationships" ref="F24" ns19:id="rIdResearch19"/>
    <x:hyperlink xmlns:ns20="http://schemas.openxmlformats.org/officeDocument/2006/relationships" ref="F25" ns20:id="rIdResearch20"/>
    <x:hyperlink xmlns:ns21="http://schemas.openxmlformats.org/officeDocument/2006/relationships" ref="F26" ns21:id="rIdResearch21"/>
    <x:hyperlink xmlns:ns22="http://schemas.openxmlformats.org/officeDocument/2006/relationships" ref="F27" ns22:id="rIdResearch22"/>
    <x:hyperlink xmlns:ns23="http://schemas.openxmlformats.org/officeDocument/2006/relationships" ref="F28" ns23:id="rIdResearch23"/>
    <x:hyperlink xmlns:ns24="http://schemas.openxmlformats.org/officeDocument/2006/relationships" ref="F29" ns24:id="rIdResearch24"/>
    <x:hyperlink xmlns:ns25="http://schemas.openxmlformats.org/officeDocument/2006/relationships" ref="F30" ns25:id="rIdResearch25"/>
    <x:hyperlink xmlns:ns26="http://schemas.openxmlformats.org/officeDocument/2006/relationships" ref="F31" ns26:id="rIdResearch26"/>
    <x:hyperlink xmlns:ns27="http://schemas.openxmlformats.org/officeDocument/2006/relationships" ref="F32" ns27:id="rIdResearch27"/>
    <x:hyperlink xmlns:ns28="http://schemas.openxmlformats.org/officeDocument/2006/relationships" ref="F33" ns28:id="rIdResearch28"/>
    <x:hyperlink xmlns:ns29="http://schemas.openxmlformats.org/officeDocument/2006/relationships" ref="F34" ns29:id="rIdResearch29"/>
    <x:hyperlink xmlns:ns30="http://schemas.openxmlformats.org/officeDocument/2006/relationships" ref="F35" ns30:id="rIdResearch30"/>
    <x:hyperlink xmlns:ns31="http://schemas.openxmlformats.org/officeDocument/2006/relationships" ref="F36" ns31:id="rIdResearch31"/>
    <x:hyperlink xmlns:ns32="http://schemas.openxmlformats.org/officeDocument/2006/relationships" ref="F37" ns32:id="rIdResearch32"/>
    <x:hyperlink xmlns:ns33="http://schemas.openxmlformats.org/officeDocument/2006/relationships" ref="F38" ns33:id="rIdResearch33"/>
    <x:hyperlink xmlns:ns34="http://schemas.openxmlformats.org/officeDocument/2006/relationships" ref="F39" ns34:id="rIdResearch34"/>
    <x:hyperlink xmlns:ns35="http://schemas.openxmlformats.org/officeDocument/2006/relationships" ref="F40" ns35:id="rIdResearch35"/>
    <x:hyperlink xmlns:ns36="http://schemas.openxmlformats.org/officeDocument/2006/relationships" ref="F41" ns36:id="rIdResearch36"/>
  </x:hyperlinks>
  <x:pageMargins left="0.7" right="0.7" top="0.75" bottom="0.75" header="0.3" footer="0.3"/>
  <x:tableParts count="1">
    <x:tablePart xmlns:r="http://schemas.openxmlformats.org/officeDocument/2006/relationships" r:id="R497999853d424190"/>
  </x:tableParts>
</x:worksheet>
</file>