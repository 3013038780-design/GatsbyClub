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039e966cfd4d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机构总览" sheetId="1" r:id="Ra8b1e7619616465e"/>
    <x:sheet xmlns:r="http://schemas.openxmlformats.org/officeDocument/2006/relationships" name="收费权益" sheetId="2" r:id="Rbeeb43d4eb394849"/>
    <x:sheet xmlns:r="http://schemas.openxmlformats.org/officeDocument/2006/relationships" name="客户画像" sheetId="3" r:id="R6a15ed9400084b35"/>
    <x:sheet xmlns:r="http://schemas.openxmlformats.org/officeDocument/2006/relationships" name="活动旅行" sheetId="4" r:id="Rb22d28b1e2164253"/>
    <x:sheet xmlns:r="http://schemas.openxmlformats.org/officeDocument/2006/relationships" name="账号声量" sheetId="5" r:id="R12b7c56a899c4342"/>
    <x:sheet xmlns:r="http://schemas.openxmlformats.org/officeDocument/2006/relationships" name="内容明细" sheetId="6" r:id="R66720e86e95f40cb"/>
    <x:sheet xmlns:r="http://schemas.openxmlformats.org/officeDocument/2006/relationships" name="经营测算" sheetId="7" r:id="R61d8a1473b434f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yyyy-mm-dd"/>
    <x:numFmt numFmtId="202" formatCode="#,##0;(#,##0);&quot;—&quot;"/>
  </x:numFmts>
  <x:fonts count="9">
    <x:font>
      <x:sz val="11"/>
      <x:name val="Carlito"/>
    </x:font>
    <x:font>
      <x:sz val="11"/>
      <x:color rgb="FF243442"/>
      <x:name val="Microsoft YaHei"/>
    </x:font>
    <x:font>
      <x:b/>
      <x:sz val="16"/>
      <x:color rgb="FF243442"/>
      <x:name val="Microsoft YaHei"/>
    </x:font>
    <x:font>
      <x:sz val="10"/>
      <x:color rgb="FF596570"/>
      <x:name val="Microsoft YaHei"/>
    </x:font>
    <x:font>
      <x:b/>
      <x:sz val="11"/>
      <x:color rgb="FFFFFFFF"/>
      <x:name val="Microsoft YaHei"/>
    </x:font>
    <x:font>
      <x:sz val="11"/>
      <x:color rgb="FF235E84"/>
      <x:name val="Microsoft YaHei"/>
    </x:font>
    <x:font>
      <x:b/>
      <x:sz val="11"/>
      <x:color rgb="FF243442"/>
      <x:name val="Microsoft YaHei"/>
    </x:font>
    <x:font>
      <x:sz val="11"/>
      <x:color rgb="FF2357AF"/>
      <x:name val="Microsoft YaHei"/>
    </x:font>
    <x:font>
      <x:sz val="11"/>
      <x:color rgb="FF000000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234458"/>
      </x:patternFill>
    </x:fill>
    <x:fill>
      <x:patternFill patternType="solid">
        <x:fgColor rgb="FFF2F5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horizontal="center" vertical="center" wrapText="1"/>
    </x:xf>
    <x:xf numFmtId="200" fontId="6" fillId="3" borderId="0" xfId="0" applyNumberFormat="1" applyFont="1" applyFill="1" applyBorder="1" applyAlignment="1">
      <x:alignment horizontal="center" vertical="center" wrapText="1"/>
    </x:xf>
    <x:xf numFmtId="200" fontId="6" fillId="0" borderId="0" xfId="0" applyNumberFormat="1" applyFont="1" applyFill="1" applyBorder="1" applyAlignment="1">
      <x:alignment horizontal="center"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202" fontId="7" fillId="0" borderId="0" xfId="0" applyNumberFormat="1" applyFont="1" applyFill="1" applyBorder="1"/>
    <x:xf numFmtId="202" fontId="1" fillId="0" borderId="0" xfId="0" applyNumberFormat="1" applyFont="1" applyFill="1" applyBorder="1"/>
    <x:xf numFmtId="202" fontId="4" fillId="2" borderId="0" xfId="0" applyNumberFormat="1" applyFont="1" applyFill="1" applyBorder="1"/>
    <x:xf numFmtId="202" fontId="8" fillId="0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0b23b3ba08467c" /><Relationship Type="http://schemas.openxmlformats.org/officeDocument/2006/relationships/theme" Target="/xl/theme/theme1.xml" Id="Rc8b295a183d14e34" /><Relationship Type="http://schemas.openxmlformats.org/officeDocument/2006/relationships/sharedStrings" Target="/xl/sharedStrings.xml" Id="R1346742eac2c4466" /><Relationship Type="http://schemas.openxmlformats.org/officeDocument/2006/relationships/worksheet" Target="/xl/worksheets/sheet1.xml" Id="Ra8b1e7619616465e" /><Relationship Type="http://schemas.openxmlformats.org/officeDocument/2006/relationships/worksheet" Target="/xl/worksheets/sheet2.xml" Id="Rbeeb43d4eb394849" /><Relationship Type="http://schemas.openxmlformats.org/officeDocument/2006/relationships/worksheet" Target="/xl/worksheets/sheet3.xml" Id="R6a15ed9400084b35" /><Relationship Type="http://schemas.openxmlformats.org/officeDocument/2006/relationships/worksheet" Target="/xl/worksheets/sheet4.xml" Id="Rb22d28b1e2164253" /><Relationship Type="http://schemas.openxmlformats.org/officeDocument/2006/relationships/worksheet" Target="/xl/worksheets/sheet5.xml" Id="R12b7c56a899c4342" /><Relationship Type="http://schemas.openxmlformats.org/officeDocument/2006/relationships/worksheet" Target="/xl/worksheets/sheet6.xml" Id="R66720e86e95f40cb" /><Relationship Type="http://schemas.openxmlformats.org/officeDocument/2006/relationships/worksheet" Target="/xl/worksheets/sheet7.xml" Id="R61d8a1473b434f9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b5563f4043a4da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Microsoft YaHei"/>
                <a:ea typeface="Microsoft YaHei"/>
                <a:cs typeface="Microsoft YaHei"/>
              </a:rPr>
              <a:t>年度贡献与固定成本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Microsoft YaHei"/>
              <a:ea typeface="Microsoft YaHei"/>
              <a:cs typeface="Microsoft YaHei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金额 元</c:v>
          </c:tx>
          <c:invertIfNegative val="0"/>
          <c:cat>
            <c:strRef>
              <c:f>'经营测算'!$F$6:$F$7</c:f>
              <c:strCache>
                <c:ptCount val="0"/>
              </c:strCache>
            </c:strRef>
          </c:cat>
          <c:val>
            <c:numRef>
              <c:f>'经营测算'!$G$6:$G$7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8</xdr:row>
      <xdr:rowOff>0</xdr:rowOff>
    </xdr:from>
    <xdr:to>
      <xdr:col>10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b5563f4043a4da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searchTable1" displayName="ResearchTable1" ref="A5:F41" headerRowCount="1" totalsRowCount="0" totalsRowShown="0">
  <x:tableColumns count="6">
    <x:tableColumn id="1" name="机构"/>
    <x:tableColumn id="2" name="组织方式"/>
    <x:tableColumn id="3" name="地区"/>
    <x:tableColumn id="4" name="客户及主要需求"/>
    <x:tableColumn id="5" name="研究用途"/>
    <x:tableColumn id="6" name="原文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searchTable2" displayName="ResearchTable2" ref="A5:F62" headerRowCount="1" totalsRowCount="0" totalsRowShown="0">
  <x:tableColumns count="6">
    <x:tableColumn id="1" name="机构及产品"/>
    <x:tableColumn id="2" name="金额 元"/>
    <x:tableColumn id="3" name="怎样收费及适用期"/>
    <x:tableColumn id="4" name="具体包含什么"/>
    <x:tableColumn id="5" name="尚未明确的合同内容"/>
    <x:tableColumn id="6" name="原文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searchTable3" displayName="ResearchTable3" ref="A5:F20" headerRowCount="1" totalsRowCount="0" totalsRowShown="0">
  <x:tableColumns count="6">
    <x:tableColumn id="1" name="机构及产品或样例"/>
    <x:tableColumn id="2" name="年龄 职业 学历"/>
    <x:tableColumn id="3" name="收入与资产"/>
    <x:tableColumn id="4" name="性格与兴趣"/>
    <x:tableColumn id="5" name="描述对象及参加需求"/>
    <x:tableColumn id="6" name="原文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searchTable4" displayName="ResearchTable4" ref="A5:H14" headerRowCount="1" totalsRowCount="0" totalsRowShown="0">
  <x:tableColumns count="8">
    <x:tableColumn id="1" name="机构"/>
    <x:tableColumn id="2" name="活动日期"/>
    <x:tableColumn id="3" name="记录状态"/>
    <x:tableColumn id="4" name="产品"/>
    <x:tableColumn id="5" name="元每人"/>
    <x:tableColumn id="6" name="公开流程"/>
    <x:tableColumn id="7" name="包含项 人群及人数"/>
    <x:tableColumn id="8" name="原文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searchTable5" displayName="ResearchTable5" ref="A5:H13" headerRowCount="1" totalsRowCount="0" totalsRowShown="0">
  <x:tableColumns count="8">
    <x:tableColumn id="1" name="品牌及账号"/>
    <x:tableColumn id="2" name="粉丝数"/>
    <x:tableColumn id="3" name="累计互动数"/>
    <x:tableColumn id="4" name="累计指标口径"/>
    <x:tableColumn id="5" name="作品数"/>
    <x:tableColumn id="6" name="采集时间"/>
    <x:tableColumn id="7" name="账号核验与使用说明"/>
    <x:tableColumn id="8" name="原文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searchTable6" displayName="ResearchTable6" ref="A5:J78" headerRowCount="1" totalsRowCount="0" totalsRowShown="0">
  <x:tableColumns count="10">
    <x:tableColumn id="1" name="品牌"/>
    <x:tableColumn id="2" name="账号"/>
    <x:tableColumn id="3" name="平台"/>
    <x:tableColumn id="4" name="发布日期"/>
    <x:tableColumn id="5" name="内容主题"/>
    <x:tableColumn id="6" name="点赞"/>
    <x:tableColumn id="7" name="评论"/>
    <x:tableColumn id="8" name="收藏"/>
    <x:tableColumn id="9" name="分享"/>
    <x:tableColumn id="10" name="原文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 standalone='yes'?>
<Relationships xmlns="http://schemas.openxmlformats.org/package/2006/relationships"><Relationship Type="http://schemas.openxmlformats.org/officeDocument/2006/relationships/table" Target="/xl/tables/table1.xml" Id="R778d2b556460405f"/><Relationship Id="rIdResearch1" Type="http://schemas.openxmlformats.org/officeDocument/2006/relationships/hyperlink" Target="https://www.zuanshi.com/new/loveCustomization" TargetMode="External"/><Relationship Id="rIdResearch2" Type="http://schemas.openxmlformats.org/officeDocument/2006/relationships/hyperlink" Target="https://members.hkjc.com/about-membership/en-US/Membership" TargetMode="External"/><Relationship Id="rIdResearch3" Type="http://schemas.openxmlformats.org/officeDocument/2006/relationships/hyperlink" Target="https://member.eonetwork.org/chinaeast/about-our-chapter/" TargetMode="External"/><Relationship Id="rIdResearch4" Type="http://schemas.openxmlformats.org/officeDocument/2006/relationships/hyperlink" Target="https://www.ckgsb.com/emba/common_problems/" TargetMode="External"/><Relationship Id="rIdResearch5" Type="http://schemas.openxmlformats.org/officeDocument/2006/relationships/hyperlink" Target="https://www.iceo.com.cn/zt/2026_mulannh/" TargetMode="External"/><Relationship Id="rIdResearch6" Type="http://schemas.openxmlformats.org/officeDocument/2006/relationships/hyperlink" Target="https://thecapitalclub.com/zh-hans/julebulishi/" TargetMode="External"/><Relationship Id="rIdResearch7" Type="http://schemas.openxmlformats.org/officeDocument/2006/relationships/hyperlink" Target="https://www.higherclub.cn/" TargetMode="External"/><Relationship Id="rIdResearch8" Type="http://schemas.openxmlformats.org/officeDocument/2006/relationships/hyperlink" Target="https://www.tpc.com.cn/membership" TargetMode="External"/><Relationship Id="rIdResearch9" Type="http://schemas.openxmlformats.org/officeDocument/2006/relationships/hyperlink" Target="https://www.missionhillschina.com/golfathon/" TargetMode="External"/><Relationship Id="rIdResearch10" Type="http://schemas.openxmlformats.org/officeDocument/2006/relationships/hyperlink" Target="https://www.nanshamarina.com/membership/128.html" TargetMode="External"/><Relationship Id="rIdResearch11" Type="http://schemas.openxmlformats.org/officeDocument/2006/relationships/hyperlink" Target="https://www.rbsc.org/member-benefits/roosevelt-club-shanghai/" TargetMode="External"/><Relationship Id="rIdResearch12" Type="http://schemas.openxmlformats.org/officeDocument/2006/relationships/hyperlink" Target="https://www.oldchair.cn/wsdhy_jiage" TargetMode="External"/><Relationship Id="rIdResearch13" Type="http://schemas.openxmlformats.org/officeDocument/2006/relationships/hyperlink" Target="https://www.clec.com.cn/p/sirendongshihui.html" TargetMode="External"/><Relationship Id="rIdResearch14" Type="http://schemas.openxmlformats.org/officeDocument/2006/relationships/hyperlink" Target="https://www.ypo.org/become-a-member/" TargetMode="External"/><Relationship Id="rIdResearch15" Type="http://schemas.openxmlformats.org/officeDocument/2006/relationships/hyperlink" Target="https://www.daonong.com/about" TargetMode="External"/><Relationship Id="rIdResearch16" Type="http://schemas.openxmlformats.org/officeDocument/2006/relationships/hyperlink" Target="https://www.chuanghehui.com/view/club" TargetMode="External"/><Relationship Id="rIdResearch17" Type="http://schemas.openxmlformats.org/officeDocument/2006/relationships/hyperlink" Target="https://www.cefco.cn/phone/cooperation/index.html" TargetMode="External"/><Relationship Id="rIdResearch18" Type="http://schemas.openxmlformats.org/officeDocument/2006/relationships/hyperlink" Target="https://detion.com/news/3527" TargetMode="External"/><Relationship Id="rIdResearch19" Type="http://schemas.openxmlformats.org/officeDocument/2006/relationships/hyperlink" Target="https://cn.ceibs.edu/gemba/tuition-fees" TargetMode="External"/><Relationship Id="rIdResearch20" Type="http://schemas.openxmlformats.org/officeDocument/2006/relationships/hyperlink" Target="https://edp.phbs.pku.edu.cn/info/1271/13221.htm" TargetMode="External"/><Relationship Id="rIdResearch21" Type="http://schemas.openxmlformats.org/officeDocument/2006/relationships/hyperlink" Target="https://emba.pbcsf.tsinghua.edu.cn/index.htm" TargetMode="External"/><Relationship Id="rIdResearch22" Type="http://schemas.openxmlformats.org/officeDocument/2006/relationships/hyperlink" Target="https://emba.saif.sjtu.edu.cn/emba_mobile/content/show/236-887.html" TargetMode="External"/><Relationship Id="rIdResearch23" Type="http://schemas.openxmlformats.org/officeDocument/2006/relationships/hyperlink" Target="https://cob.sufe.edu.cn/websites/MBA/Admissions/EMBA-Financial-2026/index.html" TargetMode="External"/><Relationship Id="rIdResearch24" Type="http://schemas.openxmlformats.org/officeDocument/2006/relationships/hyperlink" Target="https://www.shenshang.org/sgcc/about-sgcc" TargetMode="External"/><Relationship Id="rIdResearch25" Type="http://schemas.openxmlformats.org/officeDocument/2006/relationships/hyperlink" Target="https://www.socia.org/Member/user/Chamber.html" TargetMode="External"/><Relationship Id="rIdResearch26" Type="http://schemas.openxmlformats.org/officeDocument/2006/relationships/hyperlink" Target="https://www.amcham-shanghai.org/membership/resident" TargetMode="External"/><Relationship Id="rIdResearch27" Type="http://schemas.openxmlformats.org/officeDocument/2006/relationships/hyperlink" Target="https://www.amchamchina.org/membership/" TargetMode="External"/><Relationship Id="rIdResearch28" Type="http://schemas.openxmlformats.org/officeDocument/2006/relationships/hyperlink" Target="https://mzj.sh.gov.cn/MZ_shetuan748_0-2-3-357-732/20200520/MZ_shetuan748_141531.html" TargetMode="External"/><Relationship Id="rIdResearch29" Type="http://schemas.openxmlformats.org/officeDocument/2006/relationships/hyperlink" Target="https://conservation.see.org.cn/news/dynamic/2025/1203/12953.html" TargetMode="External"/><Relationship Id="rIdResearch30" Type="http://schemas.openxmlformats.org/officeDocument/2006/relationships/hyperlink" Target="https://m.7799520.com/news/32674.html" TargetMode="External"/><Relationship Id="rIdResearch31" Type="http://schemas.openxmlformats.org/officeDocument/2006/relationships/hyperlink" Target="https://www.jfh999.com/about/1.html" TargetMode="External"/><Relationship Id="rIdResearch32" Type="http://schemas.openxmlformats.org/officeDocument/2006/relationships/hyperlink" Target="https://www.zhenai.com/" TargetMode="External"/><Relationship Id="rIdResearch33" Type="http://schemas.openxmlformats.org/officeDocument/2006/relationships/hyperlink" Target="https://www.douyin.com/user/MS4wLjABAAAAzS55hxJ4_NKjM9xZw8xHpGVx8sP-m2Bxy6ekRE2I7-Q" TargetMode="External"/><Relationship Id="rIdResearch34" Type="http://schemas.openxmlformats.org/officeDocument/2006/relationships/hyperlink" Target="https://www.himmr.tech/" TargetMode="External"/><Relationship Id="rIdResearch35" Type="http://schemas.openxmlformats.org/officeDocument/2006/relationships/hyperlink" Target="https://apps.apple.com/cn/app/id1472343551" TargetMode="External"/><Relationship Id="rIdResearch36" Type="http://schemas.openxmlformats.org/officeDocument/2006/relationships/hyperlink" Target="https://apps.apple.com/cn/app/id1475216610" TargetMode="External"/></Relationships>
</file>

<file path=xl/worksheets/_rels/sheet2.xml.rels><?xml version='1.0' encoding='UTF-8' standalone='yes'?>
<Relationships xmlns="http://schemas.openxmlformats.org/package/2006/relationships"><Relationship Type="http://schemas.openxmlformats.org/officeDocument/2006/relationships/table" Target="/xl/tables/table2.xml" Id="R1656c33f47964ea9"/><Relationship Id="rIdResearch1" Type="http://schemas.openxmlformats.org/officeDocument/2006/relationships/hyperlink" Target="https://www.zuanshi.com/new/loveCustomization" TargetMode="External"/><Relationship Id="rIdResearch2" Type="http://schemas.openxmlformats.org/officeDocument/2006/relationships/hyperlink" Target="https://www.zuanshi.com/new/loveCustomization" TargetMode="External"/><Relationship Id="rIdResearch3" Type="http://schemas.openxmlformats.org/officeDocument/2006/relationships/hyperlink" Target="https://www.zuanshi.com/new/loveCustomization" TargetMode="External"/><Relationship Id="rIdResearch4" Type="http://schemas.openxmlformats.org/officeDocument/2006/relationships/hyperlink" Target="https://www.zuanshi.com/new/loveCustomization" TargetMode="External"/><Relationship Id="rIdResearch5" Type="http://schemas.openxmlformats.org/officeDocument/2006/relationships/hyperlink" Target="https://www.xiaohongshu.com/user/profile/6270c387000000002102a8b5" TargetMode="External"/><Relationship Id="rIdResearch6" Type="http://schemas.openxmlformats.org/officeDocument/2006/relationships/hyperlink" Target="https://www.xiaohongshu.com/user/profile/6270c387000000002102a8b5" TargetMode="External"/><Relationship Id="rIdResearch7" Type="http://schemas.openxmlformats.org/officeDocument/2006/relationships/hyperlink" Target="https://www.jfh999.com/about/20.html" TargetMode="External"/><Relationship Id="rIdResearch8" Type="http://schemas.openxmlformats.org/officeDocument/2006/relationships/hyperlink" Target="https://www.jfh999.com/about/20.html" TargetMode="External"/><Relationship Id="rIdResearch9" Type="http://schemas.openxmlformats.org/officeDocument/2006/relationships/hyperlink" Target="https://www.jfh999.com/about/20.html" TargetMode="External"/><Relationship Id="rIdResearch10" Type="http://schemas.openxmlformats.org/officeDocument/2006/relationships/hyperlink" Target="https://www.jfh999.com/about/20.html" TargetMode="External"/><Relationship Id="rIdResearch11" Type="http://schemas.openxmlformats.org/officeDocument/2006/relationships/hyperlink" Target="https://www.jfh999.com/about/20.html" TargetMode="External"/><Relationship Id="rIdResearch12" Type="http://schemas.openxmlformats.org/officeDocument/2006/relationships/hyperlink" Target="https://www.jfh999.com/about/20.html" TargetMode="External"/><Relationship Id="rIdResearch13" Type="http://schemas.openxmlformats.org/officeDocument/2006/relationships/hyperlink" Target="https://www.jfh999.com/about/20.html" TargetMode="External"/><Relationship Id="rIdResearch14" Type="http://schemas.openxmlformats.org/officeDocument/2006/relationships/hyperlink" Target="https://www.jfh999.com/about/20.html" TargetMode="External"/><Relationship Id="rIdResearch15" Type="http://schemas.openxmlformats.org/officeDocument/2006/relationships/hyperlink" Target="https://www.jfh999.com/about/20.html" TargetMode="External"/><Relationship Id="rIdResearch16" Type="http://schemas.openxmlformats.org/officeDocument/2006/relationships/hyperlink" Target="https://www.jfh999.com/party/311.html" TargetMode="External"/><Relationship Id="rIdResearch17" Type="http://schemas.openxmlformats.org/officeDocument/2006/relationships/hyperlink" Target="https://www.douyin.com/user/MS4wLjABAAAAzS55hxJ4_NKjM9xZw8xHpGVx8sP-m2Bxy6ekRE2I7-Q" TargetMode="External"/><Relationship Id="rIdResearch18" Type="http://schemas.openxmlformats.org/officeDocument/2006/relationships/hyperlink" Target="https://www.xiaohongshu.com/user/profile/6270c387000000002102a8b5" TargetMode="External"/><Relationship Id="rIdResearch19" Type="http://schemas.openxmlformats.org/officeDocument/2006/relationships/hyperlink" Target="https://www.himmr.tech/" TargetMode="External"/><Relationship Id="rIdResearch20" Type="http://schemas.openxmlformats.org/officeDocument/2006/relationships/hyperlink" Target="https://www.himmr.tech/" TargetMode="External"/><Relationship Id="rIdResearch21" Type="http://schemas.openxmlformats.org/officeDocument/2006/relationships/hyperlink" Target="https://www.7799520.com/" TargetMode="External"/><Relationship Id="rIdResearch22" Type="http://schemas.openxmlformats.org/officeDocument/2006/relationships/hyperlink" Target="https://www.liangyuan.com/" TargetMode="External"/><Relationship Id="rIdResearch23" Type="http://schemas.openxmlformats.org/officeDocument/2006/relationships/hyperlink" Target="https://apps.apple.com/cn/app/id1472343551" TargetMode="External"/><Relationship Id="rIdResearch24" Type="http://schemas.openxmlformats.org/officeDocument/2006/relationships/hyperlink" Target="https://apps.apple.com/cn/app/id1472343551" TargetMode="External"/><Relationship Id="rIdResearch25" Type="http://schemas.openxmlformats.org/officeDocument/2006/relationships/hyperlink" Target="https://apps.apple.com/cn/app/id1472343551" TargetMode="External"/><Relationship Id="rIdResearch26" Type="http://schemas.openxmlformats.org/officeDocument/2006/relationships/hyperlink" Target="https://apps.apple.com/cn/app/id1472343551" TargetMode="External"/><Relationship Id="rIdResearch27" Type="http://schemas.openxmlformats.org/officeDocument/2006/relationships/hyperlink" Target="https://apps.apple.com/cn/app/id1472343551" TargetMode="External"/><Relationship Id="rIdResearch28" Type="http://schemas.openxmlformats.org/officeDocument/2006/relationships/hyperlink" Target="https://apps.apple.com/cn/app/id1472343551" TargetMode="External"/><Relationship Id="rIdResearch29" Type="http://schemas.openxmlformats.org/officeDocument/2006/relationships/hyperlink" Target="https://apps.apple.com/cn/app/id1472343551" TargetMode="External"/><Relationship Id="rIdResearch30" Type="http://schemas.openxmlformats.org/officeDocument/2006/relationships/hyperlink" Target="https://apps.apple.com/cn/app/id6762596550" TargetMode="External"/><Relationship Id="rIdResearch31" Type="http://schemas.openxmlformats.org/officeDocument/2006/relationships/hyperlink" Target="https://apps.apple.com/cn/app/id6762596550" TargetMode="External"/><Relationship Id="rIdResearch32" Type="http://schemas.openxmlformats.org/officeDocument/2006/relationships/hyperlink" Target="https://apps.apple.com/cn/app/id6762596550" TargetMode="External"/><Relationship Id="rIdResearch33" Type="http://schemas.openxmlformats.org/officeDocument/2006/relationships/hyperlink" Target="https://apps.apple.com/cn/app/id1475216610" TargetMode="External"/><Relationship Id="rIdResearch34" Type="http://schemas.openxmlformats.org/officeDocument/2006/relationships/hyperlink" Target="https://apps.apple.com/cn/app/id1475216610" TargetMode="External"/><Relationship Id="rIdResearch35" Type="http://schemas.openxmlformats.org/officeDocument/2006/relationships/hyperlink" Target="https://apps.apple.com/cn/app/id1475216610" TargetMode="External"/><Relationship Id="rIdResearch36" Type="http://schemas.openxmlformats.org/officeDocument/2006/relationships/hyperlink" Target="https://apps.apple.com/cn/app/id1475216610" TargetMode="External"/><Relationship Id="rIdResearch37" Type="http://schemas.openxmlformats.org/officeDocument/2006/relationships/hyperlink" Target="https://apps.apple.com/cn/app/id1475216610" TargetMode="External"/><Relationship Id="rIdResearch38" Type="http://schemas.openxmlformats.org/officeDocument/2006/relationships/hyperlink" Target="https://apps.apple.com/cn/app/id1475216610" TargetMode="External"/><Relationship Id="rIdResearch39" Type="http://schemas.openxmlformats.org/officeDocument/2006/relationships/hyperlink" Target="https://apps.apple.com/cn/app/id1475216610" TargetMode="External"/><Relationship Id="rIdResearch40" Type="http://schemas.openxmlformats.org/officeDocument/2006/relationships/hyperlink" Target="https://apps.apple.com/cn/app/id1475216610" TargetMode="External"/><Relationship Id="rIdResearch41" Type="http://schemas.openxmlformats.org/officeDocument/2006/relationships/hyperlink" Target="https://apps.apple.com/cn/app/id1475216610" TargetMode="External"/><Relationship Id="rIdResearch42" Type="http://schemas.openxmlformats.org/officeDocument/2006/relationships/hyperlink" Target="https://members.hkjc.com/about-membership/en-US/Membership" TargetMode="External"/><Relationship Id="rIdResearch43" Type="http://schemas.openxmlformats.org/officeDocument/2006/relationships/hyperlink" Target="https://members.hkjc.com/about-membership/en-US/Membership" TargetMode="External"/><Relationship Id="rIdResearch44" Type="http://schemas.openxmlformats.org/officeDocument/2006/relationships/hyperlink" Target="https://members.hkjc.com/about-membership/en-US/Membership" TargetMode="External"/><Relationship Id="rIdResearch45" Type="http://schemas.openxmlformats.org/officeDocument/2006/relationships/hyperlink" Target="https://members.hkjc.com/about-membership/en-US/Membership" TargetMode="External"/><Relationship Id="rIdResearch46" Type="http://schemas.openxmlformats.org/officeDocument/2006/relationships/hyperlink" Target="https://members.hkjc.com/about-membership/en-US/Membership" TargetMode="External"/><Relationship Id="rIdResearch47" Type="http://schemas.openxmlformats.org/officeDocument/2006/relationships/hyperlink" Target="https://members.hkjc.com/about-membership/en-US/Membership" TargetMode="External"/><Relationship Id="rIdResearch48" Type="http://schemas.openxmlformats.org/officeDocument/2006/relationships/hyperlink" Target="https://members.hkjc.com/about-membership/en-US/Membership" TargetMode="External"/><Relationship Id="rIdResearch49" Type="http://schemas.openxmlformats.org/officeDocument/2006/relationships/hyperlink" Target="https://members.hkjc.com/about-membership/en-US/Membership" TargetMode="External"/><Relationship Id="rIdResearch50" Type="http://schemas.openxmlformats.org/officeDocument/2006/relationships/hyperlink" Target="https://www.beijingclubhouse.com/zh-HK/images/membership/Application_Form_for_Children_Supplementary_Card.pdf" TargetMode="External"/><Relationship Id="rIdResearch51" Type="http://schemas.openxmlformats.org/officeDocument/2006/relationships/hyperlink" Target="https://www.ckgsb.com/emba/common_problems/" TargetMode="External"/><Relationship Id="rIdResearch52" Type="http://schemas.openxmlformats.org/officeDocument/2006/relationships/hyperlink" Target="https://www.ckgsb.com/emba/common_problems/" TargetMode="External"/><Relationship Id="rIdResearch53" Type="http://schemas.openxmlformats.org/officeDocument/2006/relationships/hyperlink" Target="https://swapp.iceo.com.cn/mulan2026/reg.html" TargetMode="External"/><Relationship Id="rIdResearch54" Type="http://schemas.openxmlformats.org/officeDocument/2006/relationships/hyperlink" Target="https://swapp.iceo.com.cn/mulan2026/reg.html" TargetMode="External"/><Relationship Id="rIdResearch55" Type="http://schemas.openxmlformats.org/officeDocument/2006/relationships/hyperlink" Target="https://swapp.iceo.com.cn/mulan2026/reg.html" TargetMode="External"/><Relationship Id="rIdResearch56" Type="http://schemas.openxmlformats.org/officeDocument/2006/relationships/hyperlink" Target="https://swapp.iceo.com.cn/mulan2026/reg.html" TargetMode="External"/><Relationship Id="rIdResearch57" Type="http://schemas.openxmlformats.org/officeDocument/2006/relationships/hyperlink" Target="https://swapp.iceo.com.cn/mulan2026/reg.html" TargetMode="External"/></Relationships>
</file>

<file path=xl/worksheets/_rels/sheet3.xml.rels><?xml version='1.0' encoding='UTF-8' standalone='yes'?>
<Relationships xmlns="http://schemas.openxmlformats.org/package/2006/relationships"><Relationship Type="http://schemas.openxmlformats.org/officeDocument/2006/relationships/table" Target="/xl/tables/table3.xml" Id="R867d6a2d4b674ef6"/><Relationship Id="rIdResearch1" Type="http://schemas.openxmlformats.org/officeDocument/2006/relationships/hyperlink" Target="https://www.zuanshi.com/webContent/question" TargetMode="External"/><Relationship Id="rIdResearch2" Type="http://schemas.openxmlformats.org/officeDocument/2006/relationships/hyperlink" Target="https://www.zuanshi.com/webActivity/newActivityDetail?id=eb19e98e3e5642f3a51907c180b4930c" TargetMode="External"/><Relationship Id="rIdResearch3" Type="http://schemas.openxmlformats.org/officeDocument/2006/relationships/hyperlink" Target="https://www.zuanshi.com/webActivity/newActivityDetail?id=eb19e98e3e5642f3a51907c180b4930c" TargetMode="External"/><Relationship Id="rIdResearch4" Type="http://schemas.openxmlformats.org/officeDocument/2006/relationships/hyperlink" Target="https://www.zuanshi.com/webActivity/newActivityDetail?id=b4a2dc587c604ac59cfa6ccfc05193ab" TargetMode="External"/><Relationship Id="rIdResearch5" Type="http://schemas.openxmlformats.org/officeDocument/2006/relationships/hyperlink" Target="https://www.zuanshi.com/webActivity/newActivityDetail?id=8f6c2d32f22b42aaa234cf665d3e4f02" TargetMode="External"/><Relationship Id="rIdResearch6" Type="http://schemas.openxmlformats.org/officeDocument/2006/relationships/hyperlink" Target="https://www.himmr.tech/" TargetMode="External"/><Relationship Id="rIdResearch7" Type="http://schemas.openxmlformats.org/officeDocument/2006/relationships/hyperlink" Target="https://www.himmr.tech/" TargetMode="External"/><Relationship Id="rIdResearch8" Type="http://schemas.openxmlformats.org/officeDocument/2006/relationships/hyperlink" Target="https://www.jfh999.com/party/311.html" TargetMode="External"/><Relationship Id="rIdResearch9" Type="http://schemas.openxmlformats.org/officeDocument/2006/relationships/hyperlink" Target="https://www.xiaohongshu.com/explore/6ad89198000000003103aa3d" TargetMode="External"/><Relationship Id="rIdResearch10" Type="http://schemas.openxmlformats.org/officeDocument/2006/relationships/hyperlink" Target="https://www.xiaohongshu.com/explore/6a8b24210000000003029321" TargetMode="External"/><Relationship Id="rIdResearch11" Type="http://schemas.openxmlformats.org/officeDocument/2006/relationships/hyperlink" Target="https://www.xiaohongshu.com/explore/6a89457f0000000014026d62" TargetMode="External"/><Relationship Id="rIdResearch12" Type="http://schemas.openxmlformats.org/officeDocument/2006/relationships/hyperlink" Target="https://www.xiaohongshu.com/explore/6a8666c1000000000b032a7a" TargetMode="External"/><Relationship Id="rIdResearch13" Type="http://schemas.openxmlformats.org/officeDocument/2006/relationships/hyperlink" Target="https://www.xiaohongshu.com/user/profile/6270c387000000002102a8b5" TargetMode="External"/><Relationship Id="rIdResearch14" Type="http://schemas.openxmlformats.org/officeDocument/2006/relationships/hyperlink" Target="https://www.douyin.com/user/MS4wLjABAAAAzS55hxJ4_NKjM9xZw8xHpGVx8sP-m2Bxy6ekRE2I7-Q" TargetMode="External"/><Relationship Id="rIdResearch15" Type="http://schemas.openxmlformats.org/officeDocument/2006/relationships/hyperlink" Target="https://www.7799520.com/" TargetMode="External"/></Relationships>
</file>

<file path=xl/worksheets/_rels/sheet4.xml.rels><?xml version='1.0' encoding='UTF-8' standalone='yes'?>
<Relationships xmlns="http://schemas.openxmlformats.org/package/2006/relationships"><Relationship Type="http://schemas.openxmlformats.org/officeDocument/2006/relationships/table" Target="/xl/tables/table4.xml" Id="Red39be2cab1c4368"/><Relationship Id="rIdResearch1" Type="http://schemas.openxmlformats.org/officeDocument/2006/relationships/hyperlink" Target="https://www.zuanshi.com/webActivity/newActivityDetail?id=056bdd2152d24fa1b9dd983ea9e4a473" TargetMode="External"/><Relationship Id="rIdResearch2" Type="http://schemas.openxmlformats.org/officeDocument/2006/relationships/hyperlink" Target="https://www.zuanshi.com/webActivity/newActivityDetail?id=eb19e98e3e5642f3a51907c180b4930c" TargetMode="External"/><Relationship Id="rIdResearch3" Type="http://schemas.openxmlformats.org/officeDocument/2006/relationships/hyperlink" Target="https://www.zuanshi.com/webActivity/newActivityDetail?id=b4a2dc587c604ac59cfa6ccfc05193ab" TargetMode="External"/><Relationship Id="rIdResearch4" Type="http://schemas.openxmlformats.org/officeDocument/2006/relationships/hyperlink" Target="https://www.zuanshi.com/webActivity/newActivityDetail?id=8f6c2d32f22b42aaa234cf665d3e4f02" TargetMode="External"/><Relationship Id="rIdResearch5" Type="http://schemas.openxmlformats.org/officeDocument/2006/relationships/hyperlink" Target="https://www.jfh999.com/party/311.html" TargetMode="External"/><Relationship Id="rIdResearch6" Type="http://schemas.openxmlformats.org/officeDocument/2006/relationships/hyperlink" Target="https://www.douyin.com/video/7697842633449061114" TargetMode="External"/><Relationship Id="rIdResearch7" Type="http://schemas.openxmlformats.org/officeDocument/2006/relationships/hyperlink" Target="https://www.sohu.com/a/1055933312_121626427" TargetMode="External"/><Relationship Id="rIdResearch8" Type="http://schemas.openxmlformats.org/officeDocument/2006/relationships/hyperlink" Target="https://jinrishangye.com/8357/" TargetMode="External"/><Relationship Id="rIdResearch9" Type="http://schemas.openxmlformats.org/officeDocument/2006/relationships/hyperlink" Target="https://www.ruailove.com/party/89.html" TargetMode="External"/></Relationships>
</file>

<file path=xl/worksheets/_rels/sheet5.xml.rels><?xml version='1.0' encoding='UTF-8' standalone='yes'?>
<Relationships xmlns="http://schemas.openxmlformats.org/package/2006/relationships"><Relationship Type="http://schemas.openxmlformats.org/officeDocument/2006/relationships/table" Target="/xl/tables/table5.xml" Id="Rdcfcdafada2b4de0"/><Relationship Id="rIdResearch1" Type="http://schemas.openxmlformats.org/officeDocument/2006/relationships/hyperlink" Target="https://www.xiaohongshu.com/user/profile/61480fc80000000002020d91" TargetMode="External"/><Relationship Id="rIdResearch2" Type="http://schemas.openxmlformats.org/officeDocument/2006/relationships/hyperlink" Target="https://www.xiaohongshu.com/user/profile/6270c387000000002102a8b5" TargetMode="External"/><Relationship Id="rIdResearch3" Type="http://schemas.openxmlformats.org/officeDocument/2006/relationships/hyperlink" Target="https://www.xiaohongshu.com/user/profile/61c8653b0000000021020fff" TargetMode="External"/><Relationship Id="rIdResearch4" Type="http://schemas.openxmlformats.org/officeDocument/2006/relationships/hyperlink" Target="https://www.xiaohongshu.com/user/profile/55e1c4a65894462e09af7a8b" TargetMode="External"/><Relationship Id="rIdResearch5" Type="http://schemas.openxmlformats.org/officeDocument/2006/relationships/hyperlink" Target="https://www.xiaohongshu.com/user/profile/5f03d342000000000100684b" TargetMode="External"/><Relationship Id="rIdResearch6" Type="http://schemas.openxmlformats.org/officeDocument/2006/relationships/hyperlink" Target="https://www.douyin.com/user/MS4wLjABAAAAzS55hxJ4_NKjM9xZw8xHpGVx8sP-m2Bxy6ekRE2I7-Q" TargetMode="External"/><Relationship Id="rIdResearch7" Type="http://schemas.openxmlformats.org/officeDocument/2006/relationships/hyperlink" Target="https://www.douyin.com/user/MS4wLjABAAAALIHRWrJxwmo4LaeEqAPHHfrBlL_lexxrdc83OeXvSuysOixUI_5ys_rm2RCBgFX6" TargetMode="External"/><Relationship Id="rIdResearch8" Type="http://schemas.openxmlformats.org/officeDocument/2006/relationships/hyperlink" Target="https://www.douyin.com/user/MS4wLjABAAAA0OK7GRxomszaWxKkdVQTdRYFFH-AiQmGQVu8rME0Sec" TargetMode="External"/></Relationships>
</file>

<file path=xl/worksheets/_rels/sheet6.xml.rels><?xml version='1.0' encoding='UTF-8' standalone='yes'?>
<Relationships xmlns="http://schemas.openxmlformats.org/package/2006/relationships"><Relationship Type="http://schemas.openxmlformats.org/officeDocument/2006/relationships/table" Target="/xl/tables/table6.xml" Id="Redd0ec33806d404c"/><Relationship Id="rIdResearch1" Type="http://schemas.openxmlformats.org/officeDocument/2006/relationships/hyperlink" Target="https://www.xiaohongshu.com/explore/6ad9aa6d0000000031039eae?xsec_token=ABK4dcRUxf9SyWFR89ixloccl5wsrIqqDtJHH__gObOTY=&amp;xsec_source=pc_search" TargetMode="External"/><Relationship Id="rIdResearch2" Type="http://schemas.openxmlformats.org/officeDocument/2006/relationships/hyperlink" Target="https://www.xiaohongshu.com/explore/6ad40c0a000000002900e0e6?xsec_token=ABiH6MQ-yqwlW6Gx1Nm9PxgyMVoySzNsRAWSR7PpGKga4=&amp;xsec_source=pc_search" TargetMode="External"/><Relationship Id="rIdResearch3" Type="http://schemas.openxmlformats.org/officeDocument/2006/relationships/hyperlink" Target="https://www.xiaohongshu.com/explore/6aa228510000000029014776?xsec_token=ABgPhm3N1iWWHZDjAU_eanPu_dVuZmD9AY8Dfmk5n99CE=&amp;xsec_source=pc_search" TargetMode="External"/><Relationship Id="rIdResearch4" Type="http://schemas.openxmlformats.org/officeDocument/2006/relationships/hyperlink" Target="https://www.xiaohongshu.com/explore/6a9bb554000000002a006b4a?xsec_token=ABnOpStfdkswTpx7o4nVZYOS9N3BbMJ9mj29N-2XZUz6s=&amp;xsec_source=pc_search" TargetMode="External"/><Relationship Id="rIdResearch5" Type="http://schemas.openxmlformats.org/officeDocument/2006/relationships/hyperlink" Target="https://www.xiaohongshu.com/explore/6a94c9110000000025027ba1?xsec_token=ABFuWF3WufY_GrmOGI1qP3Wqa8uW1yEcc-L_XePpUs-lY=&amp;xsec_source=pc_search" TargetMode="External"/><Relationship Id="rIdResearch6" Type="http://schemas.openxmlformats.org/officeDocument/2006/relationships/hyperlink" Target="https://www.xiaohongshu.com/explore/6a7facb40000000033009f0b?xsec_token=ABliUTuOu-jsMA1i5jxWh4lS1AUxDsG7sqf07bw16dlm0=&amp;xsec_source=pc_search" TargetMode="External"/><Relationship Id="rIdResearch7" Type="http://schemas.openxmlformats.org/officeDocument/2006/relationships/hyperlink" Target="https://www.xiaohongshu.com/explore/6a7fabbb0000000005023acd?xsec_token=ABliUTuOu-jsMA1i5jxWh4lYi8TACWCjlvZjtpHjKVYiI=&amp;xsec_source=pc_search" TargetMode="External"/><Relationship Id="rIdResearch8" Type="http://schemas.openxmlformats.org/officeDocument/2006/relationships/hyperlink" Target="https://www.xiaohongshu.com/explore/6ad98626000000002c01fd4e?xsec_token=ABK4dcRUxf9SyWFR89ixlocR1JY778pDa0DkxNrav-u4s=&amp;xsec_source=pc_search" TargetMode="External"/><Relationship Id="rIdResearch9" Type="http://schemas.openxmlformats.org/officeDocument/2006/relationships/hyperlink" Target="https://www.xiaohongshu.com/explore/6ad8c50900000000250063e1?xsec_token=ABylDSvCNODiFHAOVXRY8vG2DFct9GO7ZqNUBRpZiguRo=&amp;xsec_source=pc_search" TargetMode="External"/><Relationship Id="rIdResearch10" Type="http://schemas.openxmlformats.org/officeDocument/2006/relationships/hyperlink" Target="https://www.xiaohongshu.com/explore/6ad59169000000002900f7e9?xsec_token=ABkp7GHFIsF2FV3FPQrH8GsPJZ8MbE1N4Xk04Vbq6-TdA=&amp;xsec_source=pc_search" TargetMode="External"/><Relationship Id="rIdResearch11" Type="http://schemas.openxmlformats.org/officeDocument/2006/relationships/hyperlink" Target="https://www.xiaohongshu.com/explore/6ac9a2ae00000000140327fe?xsec_token=ABxDYQCwIUmntE9zE0mRCFouqBYHM78KuIWIxlO4_VhT4=&amp;xsec_source=pc_search" TargetMode="External"/><Relationship Id="rIdResearch12" Type="http://schemas.openxmlformats.org/officeDocument/2006/relationships/hyperlink" Target="https://www.xiaohongshu.com/explore/6ac87ba8000000000100b361?xsec_token=ABHDvWYUa1PxqDZOQjBlbdQQXcrWd7Ypcdly0ry-kp94k=&amp;xsec_source=pc_search" TargetMode="External"/><Relationship Id="rIdResearch13" Type="http://schemas.openxmlformats.org/officeDocument/2006/relationships/hyperlink" Target="https://www.xiaohongshu.com/explore/6aa4e1c5000000002601ea87?xsec_token=AB_oUnpw7sbXyobjdAnSqwNIxiAOgbH9bOe3FzvjOZcMo=&amp;xsec_source=pc_search" TargetMode="External"/><Relationship Id="rIdResearch14" Type="http://schemas.openxmlformats.org/officeDocument/2006/relationships/hyperlink" Target="https://www.xiaohongshu.com/explore/6a9fe1e40000000026039bca?xsec_token=ABuALpDC0gpGci0z9hBE4F1_a1zdqZXWDV-uUqOCsCvRg=&amp;xsec_source=pc_search" TargetMode="External"/><Relationship Id="rIdResearch15" Type="http://schemas.openxmlformats.org/officeDocument/2006/relationships/hyperlink" Target="https://www.xiaohongshu.com/explore/6a9c25af000000002a0271e0?xsec_token=ABiUr_oTUHa4GlGtpogsmZ2cooN9bVdBtcdntiJ-wSDbs=&amp;xsec_source=pc_search" TargetMode="External"/><Relationship Id="rIdResearch16" Type="http://schemas.openxmlformats.org/officeDocument/2006/relationships/hyperlink" Target="https://www.xiaohongshu.com/explore/6a9a7fb30000000029017cc6?xsec_token=ABF9ZltiKFZtGsaFZ-RDI4QJwjIdA-33ehzMjvHB2NZIo=&amp;xsec_source=pc_search" TargetMode="External"/><Relationship Id="rIdResearch17" Type="http://schemas.openxmlformats.org/officeDocument/2006/relationships/hyperlink" Target="https://www.xiaohongshu.com/explore/6a957f7f000000002003c558?xsec_token=AB2ULsqNzYYgfwZN8654mT4X4fFsw5wIYYJzFXdSjO-WE=&amp;xsec_source=pc_search" TargetMode="External"/><Relationship Id="rIdResearch18" Type="http://schemas.openxmlformats.org/officeDocument/2006/relationships/hyperlink" Target="https://www.xiaohongshu.com/explore/6a963abb000000002b003d20?xsec_token=ABQtRdKBCVNLaBkbHhJIQDcGrEmale2VUaeUfvKrTRYKg=&amp;xsec_source=pc_search" TargetMode="External"/><Relationship Id="rIdResearch19" Type="http://schemas.openxmlformats.org/officeDocument/2006/relationships/hyperlink" Target="https://www.xiaohongshu.com/explore/6a89457f0000000014026d62?xsec_token=ABLpEZ109S40FU9CQSXDegFujNgWX0p9-UuEazlLAzSiY=&amp;xsec_source=pc_search" TargetMode="External"/><Relationship Id="rIdResearch20" Type="http://schemas.openxmlformats.org/officeDocument/2006/relationships/hyperlink" Target="https://www.xiaohongshu.com/explore/6a8666c1000000000b032a7a?xsec_token=AB7NW4-VF9ET6HowZnyYfK_8PMj-iEZf5kuMxst_zu_6c=&amp;xsec_source=pc_search" TargetMode="External"/><Relationship Id="rIdResearch21" Type="http://schemas.openxmlformats.org/officeDocument/2006/relationships/hyperlink" Target="https://www.xiaohongshu.com/explore/6a754c540000000025013f6a?xsec_token=ABiAz0BVO5skT-tcgvTogLWlew_pIchC42utvYbYIEdLc=&amp;xsec_source=pc_search" TargetMode="External"/><Relationship Id="rIdResearch22" Type="http://schemas.openxmlformats.org/officeDocument/2006/relationships/hyperlink" Target="https://www.xiaohongshu.com/explore/6ad58a7c0000000026008127?xsec_token=AB_uSB6QchxCAbfZ_VRvYh_c0S8H05duNxKSsjEkDW2zE=&amp;xsec_source=pc_search" TargetMode="External"/><Relationship Id="rIdResearch23" Type="http://schemas.openxmlformats.org/officeDocument/2006/relationships/hyperlink" Target="https://www.xiaohongshu.com/explore/6ad8e1c9000000003301bca9?xsec_token=ABg8YXIxTdO05EU5ixuQpJsaaWUWJtJP2QvD88O5UmGM8=&amp;xsec_source=pc_search" TargetMode="External"/><Relationship Id="rIdResearch24" Type="http://schemas.openxmlformats.org/officeDocument/2006/relationships/hyperlink" Target="https://www.xiaohongshu.com/explore/6ad45128000000002a02489d?xsec_token=ABQYlkEtP2nBq6G_BXcywRD_hUKpCzCXySXk868K9jf08=&amp;xsec_source=pc_search" TargetMode="External"/><Relationship Id="rIdResearch25" Type="http://schemas.openxmlformats.org/officeDocument/2006/relationships/hyperlink" Target="https://www.xiaohongshu.com/explore/6ad449650000000030007839?xsec_token=ABQYlkEtP2nBq6G_BXcywRD1bz6poq0Pq1l-VQiThZjRY=&amp;xsec_source=pc_search" TargetMode="External"/><Relationship Id="rIdResearch26" Type="http://schemas.openxmlformats.org/officeDocument/2006/relationships/hyperlink" Target="https://www.xiaohongshu.com/explore/6ad2e404000000001b0327e6?xsec_token=ABLiY42t5dYFvYNn7kXAPoF1Ge2rMp94FYM-V6B-8Pju0=&amp;xsec_source=pc_search" TargetMode="External"/><Relationship Id="rIdResearch27" Type="http://schemas.openxmlformats.org/officeDocument/2006/relationships/hyperlink" Target="https://www.xiaohongshu.com/explore/6ad197f4000000001a03009f?xsec_token=ABeB6YyTRUIV0BMRzS1YYMT-Vs2QhX1v7XWQUCFldSK3I=&amp;xsec_source=pc_search" TargetMode="External"/><Relationship Id="rIdResearch28" Type="http://schemas.openxmlformats.org/officeDocument/2006/relationships/hyperlink" Target="https://www.xiaohongshu.com/explore/6ad0da1a000000001801a4d6?xsec_token=ABG49BFjd9BTvSDulm6pAwb2_XK7LEAK5XWSZAe7A3tao=&amp;xsec_source=pc_search" TargetMode="External"/><Relationship Id="rIdResearch29" Type="http://schemas.openxmlformats.org/officeDocument/2006/relationships/hyperlink" Target="https://www.xiaohongshu.com/explore/6acb05c100000000020129fd?xsec_token=ABU9FLHU6BragrTcfIrGM4m1uQYrqwsNLsLsa00oUX5Js=&amp;xsec_source=pc_search" TargetMode="External"/><Relationship Id="rIdResearch30" Type="http://schemas.openxmlformats.org/officeDocument/2006/relationships/hyperlink" Target="https://www.xiaohongshu.com/explore/6aca4893000000001a0321cf?xsec_token=ABV_S3wZ1WJJ2BZTmigvTseXq-gsudbGgrUFJ-MRoA6eI=&amp;xsec_source=pc_search" TargetMode="External"/><Relationship Id="rIdResearch31" Type="http://schemas.openxmlformats.org/officeDocument/2006/relationships/hyperlink" Target="https://www.xiaohongshu.com/explore/6aca2c8b000000001801486d?xsec_token=ABV_S3wZ1WJJ2BZTmigvTseWQ340Rr4PGglvKPAn8h7OI=&amp;xsec_source=pc_search" TargetMode="External"/><Relationship Id="rIdResearch32" Type="http://schemas.openxmlformats.org/officeDocument/2006/relationships/hyperlink" Target="https://www.xiaohongshu.com/explore/6ac9ecf4000000000a01cd80?xsec_token=AByVRyIYc4mLlKIAtfngHB1R2W3rSFIDQJvXG4UMSooeo=&amp;xsec_source=pc_search" TargetMode="External"/><Relationship Id="rIdResearch33" Type="http://schemas.openxmlformats.org/officeDocument/2006/relationships/hyperlink" Target="https://www.xiaohongshu.com/explore/6ac92c370000000018019ac1?xsec_token=AByVRyIYc4mLlKIAtfngHB1UyMYJIN34wSmOgPu7dYfoM=&amp;xsec_source=pc_search" TargetMode="External"/><Relationship Id="rIdResearch34" Type="http://schemas.openxmlformats.org/officeDocument/2006/relationships/hyperlink" Target="https://www.xiaohongshu.com/explore/6ac792f300000000180298f8?xsec_token=ABs7ctAvpAW7o-S1ADaCx1pt2mWhuxK6wV4y-b0OmfgmA=&amp;xsec_source=pc_search" TargetMode="External"/><Relationship Id="rIdResearch35" Type="http://schemas.openxmlformats.org/officeDocument/2006/relationships/hyperlink" Target="https://www.xiaohongshu.com/explore/6ac7218e000000001a0306b4?xsec_token=ABs7ctAvpAW7o-S1ADaCx1prNFcADVtQo5JSTmEO1tENg=&amp;xsec_source=pc_search" TargetMode="External"/><Relationship Id="rIdResearch36" Type="http://schemas.openxmlformats.org/officeDocument/2006/relationships/hyperlink" Target="https://www.xiaohongshu.com/explore/6ac6c3f7000000001b032556?xsec_token=ABsC3UIhayh1fABQc7wSEX4__H5f4pgDASBK5y9Fdx0jA=&amp;xsec_source=pc_search" TargetMode="External"/><Relationship Id="rIdResearch37" Type="http://schemas.openxmlformats.org/officeDocument/2006/relationships/hyperlink" Target="https://www.xiaohongshu.com/explore/6ac3996d000000000200e7ec?xsec_token=ABS8hhTjVNRkiD-1CFBtibvzK8yGqXzqc-k4WaQS5T1dE=&amp;xsec_source=pc_search" TargetMode="External"/><Relationship Id="rIdResearch38" Type="http://schemas.openxmlformats.org/officeDocument/2006/relationships/hyperlink" Target="https://www.xiaohongshu.com/explore/6ac368e5000000001b01c69c?xsec_token=ABS8hhTjVNRkiD-1CFBtibv3vujsVn2xUMP-KKA6nB1wI=&amp;xsec_source=pc_search" TargetMode="External"/><Relationship Id="rIdResearch39" Type="http://schemas.openxmlformats.org/officeDocument/2006/relationships/hyperlink" Target="https://www.xiaohongshu.com/explore/6ac22e67000000000202a0f6?xsec_token=ABf6QXdY4xrGKExNQo9dDCxZzy5N76vbD1yihZ4hUXZu8=&amp;xsec_source=pc_search" TargetMode="External"/><Relationship Id="rIdResearch40" Type="http://schemas.openxmlformats.org/officeDocument/2006/relationships/hyperlink" Target="https://www.xiaohongshu.com/explore/6abefa9b000000000200f6bf?xsec_token=ABIgNsPdUZDghyvZMcAHqlxARFNcMxHnyDv7wzVdnFE5U=&amp;xsec_source=pc_search" TargetMode="External"/><Relationship Id="rIdResearch41" Type="http://schemas.openxmlformats.org/officeDocument/2006/relationships/hyperlink" Target="https://www.xiaohongshu.com/explore/6abe84f600000000180293a0?xsec_token=ABIgNsPdUZDghyvZMcAHqlxFLL7E26kImKSbMkPSjZe88=&amp;xsec_source=pc_search" TargetMode="External"/><Relationship Id="rIdResearch42" Type="http://schemas.openxmlformats.org/officeDocument/2006/relationships/hyperlink" Target="https://www.xiaohongshu.com/explore/6abe7665000000001b0239dd?xsec_token=ABIgNsPdUZDghyvZMcAHqlxFYFUn3us47RiJ2P4YXlcBs=&amp;xsec_source=pc_search" TargetMode="External"/><Relationship Id="rIdResearch43" Type="http://schemas.openxmlformats.org/officeDocument/2006/relationships/hyperlink" Target="https://www.xiaohongshu.com/explore/6abddbd5000000001403135d?xsec_token=ABT51dLFSc5EXqV3lJ_EvB656_7YvrtPNcKwq3pVuUjzA=&amp;xsec_source=pc_search" TargetMode="External"/><Relationship Id="rIdResearch44" Type="http://schemas.openxmlformats.org/officeDocument/2006/relationships/hyperlink" Target="https://www.xiaohongshu.com/explore/6abd1657000000001802b8b2?xsec_token=ABT51dLFSc5EXqV3lJ_EvB6x4vu-mIn_KmfXV19ZRRhwU=&amp;xsec_source=pc_search" TargetMode="External"/><Relationship Id="rIdResearch45" Type="http://schemas.openxmlformats.org/officeDocument/2006/relationships/hyperlink" Target="https://www.xiaohongshu.com/explore/6ab86400000000000202871d?xsec_token=ABblI86CCgu4Oo10J9edXCP06fto7ZJSAtNV34GKuijPc=&amp;xsec_source=pc_search" TargetMode="External"/><Relationship Id="rIdResearch46" Type="http://schemas.openxmlformats.org/officeDocument/2006/relationships/hyperlink" Target="https://www.xiaohongshu.com/explore/6ab2a1450000000015011222?xsec_token=ABJVHvaKPc2yTyBk7oR2uvROVt21XhZykU8biuH_Xi39k=&amp;xsec_source=pc_search" TargetMode="External"/><Relationship Id="rIdResearch47" Type="http://schemas.openxmlformats.org/officeDocument/2006/relationships/hyperlink" Target="https://www.xiaohongshu.com/explore/6ad89198000000003103aa3d?xsec_token=ABg8YXIxTdO05EU5ixuQpJsfMwwSpUiR8tghX_tyOLD1w=&amp;xsec_source=pc_search" TargetMode="External"/><Relationship Id="rIdResearch48" Type="http://schemas.openxmlformats.org/officeDocument/2006/relationships/hyperlink" Target="https://www.xiaohongshu.com/explore/6a8b24210000000003029321?xsec_token=ABxBd_veI5r2ipyqtFVxX-y_6aOz5O7lyeZi2Spj-kUoE=&amp;xsec_source=pc_search" TargetMode="External"/><Relationship Id="rIdResearch49" Type="http://schemas.openxmlformats.org/officeDocument/2006/relationships/hyperlink" Target="https://www.xiaohongshu.com/explore/6ab65d80000000001402e559?xsec_token=ABPl9mgGRsjzB5WhuHm5teTGNC24bD7-7iGhqJNd9FZbg=&amp;xsec_source=pc_search" TargetMode="External"/><Relationship Id="rIdResearch50" Type="http://schemas.openxmlformats.org/officeDocument/2006/relationships/hyperlink" Target="https://www.xiaohongshu.com/explore/6aacf9a50000000012036942?xsec_token=ABojpiaEH3-QQU65CWSLYqOJZwKQtUa2PUzrdBsN30gCw=&amp;xsec_source=pc_search" TargetMode="External"/><Relationship Id="rIdResearch51" Type="http://schemas.openxmlformats.org/officeDocument/2006/relationships/hyperlink" Target="https://www.xiaohongshu.com/explore/6aa7a1ca0000000026008e6f?xsec_token=ABWgpdesEps7-YaLpOE8lpQkFpycz3fQsn-gyh46ZtwzY=&amp;xsec_source=pc_search" TargetMode="External"/><Relationship Id="rIdResearch52" Type="http://schemas.openxmlformats.org/officeDocument/2006/relationships/hyperlink" Target="https://www.xiaohongshu.com/explore/6a9a70f1000000000d026ac5?xsec_token=ABqopYPmPI66eDzdl4Ia0qU_Z3AjqvSpp2Qhw-bol9EE4=&amp;xsec_source=pc_search" TargetMode="External"/><Relationship Id="rIdResearch53" Type="http://schemas.openxmlformats.org/officeDocument/2006/relationships/hyperlink" Target="https://www.xiaohongshu.com/explore/6a9a6705000000002802ea08?xsec_token=ABqopYPmPI66eDzdl4Ia0qUyrm3PycAzoEZ5CERm9wUzU=&amp;xsec_source=pc_search" TargetMode="External"/><Relationship Id="rIdResearch54" Type="http://schemas.openxmlformats.org/officeDocument/2006/relationships/hyperlink" Target="https://www.xiaohongshu.com/explore/6a915c0300000000070054a7?xsec_token=ABn5N2T9ZYBAlwm1nXbQxsLVmtP4ohAANk9I8xSyk6-vI=&amp;xsec_source=pc_search" TargetMode="External"/><Relationship Id="rIdResearch55" Type="http://schemas.openxmlformats.org/officeDocument/2006/relationships/hyperlink" Target="https://www.xiaohongshu.com/explore/6a89b11f000000001600b8de?xsec_token=ABXQKA9PSZqkmeII0VfIlfL7kbyALGqrRFAFFtnMyZrco=&amp;xsec_source=pc_search" TargetMode="External"/><Relationship Id="rIdResearch56" Type="http://schemas.openxmlformats.org/officeDocument/2006/relationships/hyperlink" Target="https://www.xiaohongshu.com/explore/6a7ebe93000000003302df34?xsec_token=ABvMIzuVLrnXVNFd4hqllTDcfdmUmBuSezUAsM5FbsZhQ=&amp;xsec_source=pc_search" TargetMode="External"/><Relationship Id="rIdResearch57" Type="http://schemas.openxmlformats.org/officeDocument/2006/relationships/hyperlink" Target="https://www.xiaohongshu.com/explore/6a75af2f0000000028000187?xsec_token=AB6cAwPQMI85iJFTVIzzro2mzt5sp0CwZ8E5JB05RGIzQ=&amp;xsec_source=pc_search" TargetMode="External"/><Relationship Id="rIdResearch58" Type="http://schemas.openxmlformats.org/officeDocument/2006/relationships/hyperlink" Target="https://www.xiaohongshu.com/explore/6a7588c20000000005022949?xsec_token=AB6cAwPQMI85iJFTVIzzro2oxY7daYEA8dEnU5flWXg3E=&amp;xsec_source=pc_search" TargetMode="External"/><Relationship Id="rIdResearch59" Type="http://schemas.openxmlformats.org/officeDocument/2006/relationships/hyperlink" Target="https://www.xiaohongshu.com/explore/6a6c8a8c00000000220126ec?xsec_token=ABW4qxu3EayTZCzMWQ-UY-RHu2IIZv2WSj5CZ44kqmcg4=&amp;xsec_source=pc_search" TargetMode="External"/><Relationship Id="rIdResearch60" Type="http://schemas.openxmlformats.org/officeDocument/2006/relationships/hyperlink" Target="https://www.douyin.com/video/7697842633449061114" TargetMode="External"/><Relationship Id="rIdResearch61" Type="http://schemas.openxmlformats.org/officeDocument/2006/relationships/hyperlink" Target="https://www.douyin.com/video/7692061287328963707" TargetMode="External"/><Relationship Id="rIdResearch62" Type="http://schemas.openxmlformats.org/officeDocument/2006/relationships/hyperlink" Target="https://www.douyin.com/video/7699164490047362937" TargetMode="External"/><Relationship Id="rIdResearch63" Type="http://schemas.openxmlformats.org/officeDocument/2006/relationships/hyperlink" Target="https://www.douyin.com/video/7699115321131255547" TargetMode="External"/><Relationship Id="rIdResearch64" Type="http://schemas.openxmlformats.org/officeDocument/2006/relationships/hyperlink" Target="https://www.douyin.com/video/7699098579902456826" TargetMode="External"/><Relationship Id="rIdResearch65" Type="http://schemas.openxmlformats.org/officeDocument/2006/relationships/hyperlink" Target="https://www.douyin.com/video/7698218132113223355" TargetMode="External"/><Relationship Id="rIdResearch66" Type="http://schemas.openxmlformats.org/officeDocument/2006/relationships/hyperlink" Target="https://www.douyin.com/video/7697866154039139057" TargetMode="External"/><Relationship Id="rIdResearch67" Type="http://schemas.openxmlformats.org/officeDocument/2006/relationships/hyperlink" Target="https://www.douyin.com/video/7697470155572307962" TargetMode="External"/><Relationship Id="rIdResearch68" Type="http://schemas.openxmlformats.org/officeDocument/2006/relationships/hyperlink" Target="https://www.douyin.com/video/7697101125728440186" TargetMode="External"/><Relationship Id="rIdResearch69" Type="http://schemas.openxmlformats.org/officeDocument/2006/relationships/hyperlink" Target="https://www.douyin.com/video/7695795555909874810" TargetMode="External"/><Relationship Id="rIdResearch70" Type="http://schemas.openxmlformats.org/officeDocument/2006/relationships/hyperlink" Target="https://www.douyin.com/video/7695754341667913381" TargetMode="External"/><Relationship Id="rIdResearch71" Type="http://schemas.openxmlformats.org/officeDocument/2006/relationships/hyperlink" Target="https://www.douyin.com/video/7695646810938051321" TargetMode="External"/><Relationship Id="rIdResearch72" Type="http://schemas.openxmlformats.org/officeDocument/2006/relationships/hyperlink" Target="https://www.douyin.com/video/7690856197508205903" TargetMode="External"/><Relationship Id="rIdResearch73" Type="http://schemas.openxmlformats.org/officeDocument/2006/relationships/hyperlink" Target="https://www.douyin.com/video/7690200643226913187" TargetMode="External"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17c3710689174324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5" hidden="0" customWidth="1"/>
    <x:col min="2" max="2" width="22" hidden="0" customWidth="1"/>
    <x:col min="3" max="3" width="22" hidden="0" customWidth="1"/>
    <x:col min="4" max="4" width="52" hidden="0" customWidth="1"/>
    <x:col min="5" max="5" width="48" hidden="0" customWidth="1"/>
    <x:col min="6" max="6" width="14" hidden="0" customWidth="1"/>
  </x:cols>
  <x:sheetData>
    <x:row r="1">
      <x:c r="A1" s="1"/>
      <x:c r="B1" s="1"/>
      <x:c r="C1" s="1"/>
      <x:c r="D1" s="1"/>
      <x:c r="E1" s="1"/>
      <x:c r="F1" s="1"/>
    </x:row>
    <x:row r="2" ht="32" customHeight="1">
      <x:c r="A2" s="2" t="str">
        <x:v>机构总览</x:v>
      </x:c>
      <x:c r="B2" s="1"/>
      <x:c r="C2" s="1"/>
      <x:c r="D2" s="1"/>
      <x:c r="E2" s="1"/>
      <x:c r="F2" s="1"/>
    </x:row>
    <x:row r="3" ht="26" customHeight="1">
      <x:c r="A3" s="3" t="str">
        <x:v>36家机构；婚恋专项优先五家，原有会所、商学院及其他线下社群继续保留。</x:v>
      </x:c>
      <x:c r="B3" s="1"/>
      <x:c r="C3" s="1"/>
      <x:c r="D3" s="1"/>
      <x:c r="E3" s="1"/>
      <x:c r="F3" s="1"/>
    </x:row>
    <x:row r="4">
      <x:c r="A4" s="1"/>
      <x:c r="B4" s="1"/>
      <x:c r="C4" s="1"/>
      <x:c r="D4" s="1"/>
      <x:c r="E4" s="1"/>
      <x:c r="F4" s="1"/>
    </x:row>
    <x:row r="5" ht="32" customHeight="1">
      <x:c r="A5" s="8" t="str">
        <x:v>机构</x:v>
      </x:c>
      <x:c r="B5" s="8" t="str">
        <x:v>组织方式</x:v>
      </x:c>
      <x:c r="C5" s="8" t="str">
        <x:v>地区</x:v>
      </x:c>
      <x:c r="D5" s="8" t="str">
        <x:v>客户及主要需求</x:v>
      </x:c>
      <x:c r="E5" s="8" t="str">
        <x:v>研究用途</x:v>
      </x:c>
      <x:c r="F5" s="8" t="str">
        <x:v>原文</x:v>
      </x:c>
    </x:row>
    <x:row r="6" ht="26.399999618530273" hidden="0" customHeight="1">
      <x:c r="A6" s="11" t="str">
        <x:v>钻石婚恋／钻石精英会</x:v>
      </x:c>
      <x:c r="B6" s="11" t="str">
        <x:v>高净值婚恋定制与单身圈层</x:v>
      </x:c>
      <x:c r="C6" s="11" t="str">
        <x:v>上海及异地服务</x:v>
      </x:c>
      <x:c r="D6" s="11" t="str">
        <x:v>官网定义个人或家庭财产1000万元以上或个人条件极优秀；活动各自有准入条件</x:v>
      </x:c>
      <x:c r="E6" s="11" t="str">
        <x:v>婚恋专项优先。婚恋专项优先研究；重点学定制项目与圈层分层</x:v>
      </x:c>
      <x:c r="F6" s="12" t="str">
        <x:v>打开原文</x:v>
      </x:c>
    </x:row>
    <x:row r="7" ht="26.399999618530273" hidden="0" customHeight="1">
      <x:c r="A7" s="10" t="str">
        <x:v>北京香港马会会所</x:v>
      </x:c>
      <x:c r="B7" s="10" t="str">
        <x:v>综合会员会所</x:v>
      </x:c>
      <x:c r="C7" s="10" t="str">
        <x:v>北京、跨地设施</x:v>
      </x:c>
      <x:c r="D7" s="10" t="str">
        <x:v>个人会籍使用人、公司提名使用人及家属；分别解决接待、康体与家庭活动需求。</x:v>
      </x:c>
      <x:c r="E7" s="10" t="str">
        <x:v>持续社群主要参考。学习使用人、家庭附属卡与另付活动的清楚分层。</x:v>
      </x:c>
      <x:c r="F7" s="13" t="str">
        <x:v>打开原文</x:v>
      </x:c>
    </x:row>
    <x:row r="8" ht="26.399999618530273" hidden="0" customHeight="1">
      <x:c r="A8" s="11" t="str">
        <x:v>EO中国华东分会</x:v>
      </x:c>
      <x:c r="B8" s="11" t="str">
        <x:v>企业家固定小组</x:v>
      </x:c>
      <x:c r="C8" s="11" t="str">
        <x:v>中国华东</x:v>
      </x:c>
      <x:c r="D8" s="11" t="str">
        <x:v>符合企业营收及创始人、所有者条件的经营者；全球另有配偶及生活伴侣小组。</x:v>
      </x:c>
      <x:c r="E8" s="11" t="str">
        <x:v>补充参考。学习固定小组、保密规则与新成员培训。</x:v>
      </x:c>
      <x:c r="F8" s="12" t="str">
        <x:v>打开原文</x:v>
      </x:c>
    </x:row>
    <x:row r="9" ht="26.399999618530273" hidden="0" customHeight="1">
      <x:c r="A9" s="10" t="str">
        <x:v>长江商学院</x:v>
      </x:c>
      <x:c r="B9" s="10" t="str">
        <x:v>商学院与校友组织</x:v>
      </x:c>
      <x:c r="C9" s="10" t="str">
        <x:v>全国及海外模块</x:v>
      </x:c>
      <x:c r="D9" s="10" t="str">
        <x:v>官方称EMBA累计学员99%以上为企业核心决策层；通过教育选拔建立长期同学关系。</x:v>
      </x:c>
      <x:c r="E9" s="10" t="str">
        <x:v>持续社群主要参考。学习班级关系、企业互访和毕业后的长期组织。</x:v>
      </x:c>
      <x:c r="F9" s="13" t="str">
        <x:v>打开原文</x:v>
      </x:c>
    </x:row>
    <x:row r="10" ht="26.399999618530273" hidden="0" customHeight="1">
      <x:c r="A10" s="11" t="str">
        <x:v>木兰汇</x:v>
      </x:c>
      <x:c r="B10" s="11" t="str">
        <x:v>女性企业家社群</x:v>
      </x:c>
      <x:c r="C10" s="11" t="str">
        <x:v>全国</x:v>
      </x:c>
      <x:c r="D10" s="11" t="str">
        <x:v>女性企业家与商业经营者；官方2026介绍近1000位成员，112位核心成员企业市值或估值20亿元以上。</x:v>
      </x:c>
      <x:c r="E10" s="11" t="str">
        <x:v>持续社群主要参考。学习明确的女性经营者客群与年会、考察组合。</x:v>
      </x:c>
      <x:c r="F10" s="12" t="str">
        <x:v>打开原文</x:v>
      </x:c>
    </x:row>
    <x:row r="11" ht="26.399999618530273" hidden="0" customHeight="1">
      <x:c r="A11" s="10" t="str">
        <x:v>京城俱乐部</x:v>
      </x:c>
      <x:c r="B11" s="10" t="str">
        <x:v>综合会员会所</x:v>
      </x:c>
      <x:c r="C11" s="10" t="str">
        <x:v>北京</x:v>
      </x:c>
      <x:c r="D11" s="10" t="str">
        <x:v>在北京有商务接待、跨国交流和家庭休闲需求的商务人士；官网同时服务会员家人。</x:v>
      </x:c>
      <x:c r="E11" s="10" t="str">
        <x:v>补充参考。适合研究一个固定场所如何同时容纳商务接待和家庭生活，价格结构尚不足以直接照搬。</x:v>
      </x:c>
      <x:c r="F11" s="13" t="str">
        <x:v>打开原文</x:v>
      </x:c>
    </x:row>
    <x:row r="12" ht="26.399999618530273" hidden="0" customHeight="1">
      <x:c r="A12" s="11" t="str">
        <x:v>HIGHER CLUB</x:v>
      </x:c>
      <x:c r="B12" s="11" t="str">
        <x:v>精选年轻会员社群</x:v>
      </x:c>
      <x:c r="C12" s="11" t="str">
        <x:v>杭州、上海及跨城</x:v>
      </x:c>
      <x:c r="D12" s="11" t="str">
        <x:v>官网称成员以16—25岁企业家二代为主，有海外学习背景；这是机构描述，非独立客户调查。</x:v>
      </x:c>
      <x:c r="E12" s="11" t="str">
        <x:v>补充参考。客群比我们的全关系阶段定位更年轻，可研究二代与品牌场景，但不应据官网家族企业市值判断会员消费或转化。</x:v>
      </x:c>
      <x:c r="F12" s="12" t="str">
        <x:v>打开原文</x:v>
      </x:c>
    </x:row>
    <x:row r="13" ht="26.399999618530273" hidden="0" customHeight="1">
      <x:c r="A13" s="10" t="str">
        <x:v>黑骑士球员俱乐部</x:v>
      </x:c>
      <x:c r="B13" s="10" t="str">
        <x:v>高尔夫与生活会员</x:v>
      </x:c>
      <x:c r="C13" s="10" t="str">
        <x:v>深圳</x:v>
      </x:c>
      <x:c r="D13" s="10" t="str">
        <x:v>按打球、居住及纯社交需求分层的球会申请者；官网未公开实际客户年龄及财富分布。</x:v>
      </x:c>
      <x:c r="E13" s="10" t="str">
        <x:v>补充参考。值得学的是把只想社交的人与重度运动使用者分开，避免一份会员费承诺所有服务。</x:v>
      </x:c>
      <x:c r="F13" s="13" t="str">
        <x:v>打开原文</x:v>
      </x:c>
    </x:row>
    <x:row r="14" ht="26.399999618530273" hidden="0" customHeight="1">
      <x:c r="A14" s="11" t="str">
        <x:v>观澜湖</x:v>
      </x:c>
      <x:c r="B14" s="11" t="str">
        <x:v>运动与生活方式会员</x:v>
      </x:c>
      <x:c r="C14" s="11" t="str">
        <x:v>深圳、东莞</x:v>
      </x:c>
      <x:c r="D14" s="11" t="str">
        <x:v>已有球会会员及12岁以上业余球手；赛事按年龄、性别和差点分组，另有家庭兴趣活动。</x:v>
      </x:c>
      <x:c r="E14" s="11" t="str">
        <x:v>补充参考。在大群体里用连续赛事形成反复见面，比只办一次聚会更值得学习。</x:v>
      </x:c>
      <x:c r="F14" s="12" t="str">
        <x:v>打开原文</x:v>
      </x:c>
    </x:row>
    <x:row r="15" ht="26.399999618530273" hidden="0" customHeight="1">
      <x:c r="A15" s="10" t="str">
        <x:v>南沙游艇会</x:v>
      </x:c>
      <x:c r="B15" s="10" t="str">
        <x:v>航海与家庭会员</x:v>
      </x:c>
      <x:c r="C15" s="10" t="str">
        <x:v>广州南沙</x:v>
      </x:c>
      <x:c r="D15" s="10" t="str">
        <x:v>有帆船、游艇租赁或泊位需求的人，以及希望一家人使用泳池健身和参加主题活动的客户；个人与公司分别申请。</x:v>
      </x:c>
      <x:c r="E15" s="10" t="str">
        <x:v>补充参考。特别适合学短期体验会籍、家属卡及按使用需求区分等级；并不需要自有游艇才能设计社群权益。</x:v>
      </x:c>
      <x:c r="F15" s="13" t="str">
        <x:v>打开原文</x:v>
      </x:c>
    </x:row>
    <x:row r="16" ht="26.399999618530273" hidden="0" customHeight="1">
      <x:c r="A16" s="11" t="str">
        <x:v>上海罗斯福会所</x:v>
      </x:c>
      <x:c r="B16" s="11" t="str">
        <x:v>葡萄酒雪茄与私人会所</x:v>
      </x:c>
      <x:c r="C16" s="11" t="str">
        <x:v>上海</x:v>
      </x:c>
      <x:c r="D16" s="11" t="str">
        <x:v>有私人宴请、葡萄酒与雪茄兴趣的商务及生活方式客户；另接待互惠球会持卡会员。</x:v>
      </x:c>
      <x:c r="E16" s="11" t="str">
        <x:v>补充参考。研究重点是兴趣设施、私人接待和异地俱乐部互惠，不能把普通餐厅到店客流当社群会员。</x:v>
      </x:c>
      <x:c r="F16" s="12" t="str">
        <x:v>打开原文</x:v>
      </x:c>
    </x:row>
    <x:row r="17" ht="26.399999618530273" hidden="0" customHeight="1">
      <x:c r="A17" s="10" t="str">
        <x:v>伟事达中国</x:v>
      </x:c>
      <x:c r="B17" s="10" t="str">
        <x:v>教练与私人董事会</x:v>
      </x:c>
      <x:c r="C17" s="10" t="str">
        <x:v>全国／本地小组</x:v>
      </x:c>
      <x:c r="D17" s="10" t="str">
        <x:v>CE面向最高决策者，服务业年收入3000万元、25人起或商贸制造1亿元、50人起；SE面向更早期经营者；KE面向关键高管。</x:v>
      </x:c>
      <x:c r="E17" s="10" t="str">
        <x:v>补充参考。可学按经营阶段定价、固定小组与一对一组合；需要有能力持续追问企业问题的教练。</x:v>
      </x:c>
      <x:c r="F17" s="13" t="str">
        <x:v>打开原文</x:v>
      </x:c>
    </x:row>
    <x:row r="18" ht="26.399999618530273" hidden="0" customHeight="1">
      <x:c r="A18" s="11" t="str">
        <x:v>领教工坊</x:v>
      </x:c>
      <x:c r="B18" s="11" t="str">
        <x:v>私人董事会</x:v>
      </x:c>
      <x:c r="C18" s="11" t="str">
        <x:v>中国主要城市</x:v>
      </x:c>
      <x:c r="D18" s="11" t="str">
        <x:v>希望讨论经营、领导力与个人家庭问题的民营企业掌舵人；同组避免直接竞争。</x:v>
      </x:c>
      <x:c r="E18" s="11" t="str">
        <x:v>补充参考。最值得学召集人的会前调研和会后跟进，这决定私董会能否超越一次听课。</x:v>
      </x:c>
      <x:c r="F18" s="12" t="str">
        <x:v>打开原文</x:v>
      </x:c>
    </x:row>
    <x:row r="19" ht="26.399999618530273" hidden="0" customHeight="1">
      <x:c r="A19" s="10" t="str">
        <x:v>YPO</x:v>
      </x:c>
      <x:c r="B19" s="10" t="str">
        <x:v>全球企业领导者会员组织</x:v>
      </x:c>
      <x:c r="C19" s="10" t="str">
        <x:v>全球及中国分会</x:v>
      </x:c>
      <x:c r="D19" s="10" t="str">
        <x:v>一般准入要求45岁前加入、最高经营负责人并承担损益与人事决策；企业销售收入等规模门槛另列，不按个人资产入会。</x:v>
      </x:c>
      <x:c r="E19" s="10" t="str">
        <x:v>补充参考。与EO一起比较高要求会员筛选和全球地方两层收费，国内实际交付还需分会材料。</x:v>
      </x:c>
      <x:c r="F19" s="13" t="str">
        <x:v>打开原文</x:v>
      </x:c>
    </x:row>
    <x:row r="20" ht="26.399999618530273" hidden="0" customHeight="1">
      <x:c r="A20" s="11" t="str">
        <x:v>中国企业家俱乐部</x:v>
      </x:c>
      <x:c r="B20" s="11" t="str">
        <x:v>企业家理事与企业网络</x:v>
      </x:c>
      <x:c r="C20" s="11" t="str">
        <x:v>全国</x:v>
      </x:c>
      <x:c r="D20" s="11" t="str">
        <x:v>主要企业创始人及核心决策者；理事层与绿色公司联盟应分开看。</x:v>
      </x:c>
      <x:c r="E20" s="11" t="str">
        <x:v>补充参考。适合学头部企业之间的互访和议题设计，进入门槛依赖组织者已有企业资源。</x:v>
      </x:c>
      <x:c r="F20" s="12" t="str">
        <x:v>打开原文</x:v>
      </x:c>
    </x:row>
    <x:row r="21" ht="26.399999618530273" hidden="0" customHeight="1">
      <x:c r="A21" s="10" t="str">
        <x:v>创合汇</x:v>
      </x:c>
      <x:c r="B21" s="10" t="str">
        <x:v>学习与多主题社群</x:v>
      </x:c>
      <x:c r="C21" s="10" t="str">
        <x:v>全国</x:v>
      </x:c>
      <x:c r="D21" s="10" t="str">
        <x:v>创投俱乐部面向年营收500万元以上的创始人、联合创始人、合伙人和CEO；战略工作坊以企业高管团队为单位。</x:v>
      </x:c>
      <x:c r="E21" s="10" t="str">
        <x:v>补充参考。与我们的多产品设想接近；值得学以共同企业问题串联产品，不能把产品目录本身当成交叉销售效果。</x:v>
      </x:c>
      <x:c r="F21" s="13" t="str">
        <x:v>打开原文</x:v>
      </x:c>
    </x:row>
    <x:row r="22" ht="26.399999618530273" hidden="0" customHeight="1">
      <x:c r="A22" s="11" t="str">
        <x:v>亚布力中国企业家论坛</x:v>
      </x:c>
      <x:c r="B22" s="11" t="str">
        <x:v>企业家论坛及会员网络</x:v>
      </x:c>
      <x:c r="C22" s="11" t="str">
        <x:v>全国</x:v>
      </x:c>
      <x:c r="D22" s="11" t="str">
        <x:v>企业创始人、董事长及经营负责人；官网理事名录和历届论坛嘉宾可核对其商业角色。</x:v>
      </x:c>
      <x:c r="E22" s="11" t="str">
        <x:v>补充参考。可学用企业家内容与固定年度节点维系品牌；不能把论坛参会规模直接当日常社群活跃。</x:v>
      </x:c>
      <x:c r="F22" s="12" t="str">
        <x:v>打开原文</x:v>
      </x:c>
    </x:row>
    <x:row r="23" ht="26.399999618530273" hidden="0" customHeight="1">
      <x:c r="A23" s="10" t="str">
        <x:v>德申汇</x:v>
      </x:c>
      <x:c r="B23" s="10" t="str">
        <x:v>分区商务俱乐部</x:v>
      </x:c>
      <x:c r="C23" s="10" t="str">
        <x:v>全国及跨境</x:v>
      </x:c>
      <x:c r="D23" s="10" t="str">
        <x:v>有真实企业身份、希望拓展经营联系的经营者；平台要求真实填写企业认证，不以A8为公开统一门槛。</x:v>
      </x:c>
      <x:c r="E23" s="10" t="str">
        <x:v>补充参考。可学地方组织与平台身份的连接；实际客户层次更宽，不能直接作为高净值社群的客单价参照。</x:v>
      </x:c>
      <x:c r="F23" s="13" t="str">
        <x:v>打开原文</x:v>
      </x:c>
    </x:row>
    <x:row r="24" ht="26.399999618530273" hidden="0" customHeight="1">
      <x:c r="A24" s="11" t="str">
        <x:v>中欧国际工商学院</x:v>
      </x:c>
      <x:c r="B24" s="11" t="str">
        <x:v>商学院学习与校友组织</x:v>
      </x:c>
      <x:c r="C24" s="11" t="str">
        <x:v>上海、北京、深圳及海外</x:v>
      </x:c>
      <x:c r="D24" s="11" t="str">
        <x:v>HEMBA披露过半学员为创业者或来自家族企业，前三行业智能制造、信息科技、医疗健康；MBA与EMBA客群分别看。</x:v>
      </x:c>
      <x:c r="E24" s="11" t="str">
        <x:v>补充参考。可学用行业小聚让准客户体验人群质量，再进入正式申请；我们不能照搬学历与校友资格背书。</x:v>
      </x:c>
      <x:c r="F24" s="12" t="str">
        <x:v>打开原文</x:v>
      </x:c>
    </x:row>
    <x:row r="25" ht="26.399999618530273" hidden="0" customHeight="1">
      <x:c r="A25" s="10" t="str">
        <x:v>北大汇丰EDP</x:v>
      </x:c>
      <x:c r="B25" s="10" t="str">
        <x:v>高管教育与校友兴趣组织</x:v>
      </x:c>
      <x:c r="C25" s="10" t="str">
        <x:v>深圳及异地活动</x:v>
      </x:c>
      <x:c r="D25" s="10" t="str">
        <x:v>参加具体EDP课程的企业经营者和高管及其校友；跑团活动另开放6—16岁亲子组。</x:v>
      </x:c>
      <x:c r="E25" s="10" t="str">
        <x:v>补充参考。值得学让会员成为组织者，班级关系通过运动和亲子持续；比新增一个旅行套餐更能解释社群延续。</x:v>
      </x:c>
      <x:c r="F25" s="13" t="str">
        <x:v>打开原文</x:v>
      </x:c>
    </x:row>
    <x:row r="26" ht="26.399999618530273" hidden="0" customHeight="1">
      <x:c r="A26" s="11" t="str">
        <x:v>清华五道口</x:v>
      </x:c>
      <x:c r="B26" s="11" t="str">
        <x:v>金融高管教育与校友组织</x:v>
      </x:c>
      <x:c r="C26" s="11" t="str">
        <x:v>北京及异地模块</x:v>
      </x:c>
      <x:c r="D26" s="11" t="str">
        <x:v>金融机构高管、企业经营者；金融EMBA及一带一路等课程各有对象，不能混用学员比例。</x:v>
      </x:c>
      <x:c r="E26" s="11" t="str">
        <x:v>补充参考。可学按产业与经营问题设计参访，品牌与教授资源属于进入条件，不能只复制行程。</x:v>
      </x:c>
      <x:c r="F26" s="12" t="str">
        <x:v>打开原文</x:v>
      </x:c>
    </x:row>
    <x:row r="27" ht="26.399999618530273" hidden="0" customHeight="1">
      <x:c r="A27" s="10" t="str">
        <x:v>交大高金</x:v>
      </x:c>
      <x:c r="B27" s="10" t="str">
        <x:v>金融EMBA与校友组织</x:v>
      </x:c>
      <x:c r="C27" s="10" t="str">
        <x:v>上海</x:v>
      </x:c>
      <x:c r="D27" s="10" t="str">
        <x:v>有资历的企业高管及经营者，购买金融与综合管理教育；个人财富和婚姻状态非本次可确认画像。</x:v>
      </x:c>
      <x:c r="E27" s="10" t="str">
        <x:v>补充参考。与长江中欧比较课程准入和客户支付预算，不能把学费全部解释为购买社交关系。</x:v>
      </x:c>
      <x:c r="F27" s="13" t="str">
        <x:v>打开原文</x:v>
      </x:c>
    </x:row>
    <x:row r="28" ht="26.399999618530273" hidden="0" customHeight="1">
      <x:c r="A28" s="11" t="str">
        <x:v>上海财经大学商学院</x:v>
      </x:c>
      <x:c r="B28" s="11" t="str">
        <x:v>金融EMBA与校友组织</x:v>
      </x:c>
      <x:c r="C28" s="11" t="str">
        <x:v>上海</x:v>
      </x:c>
      <x:c r="D28" s="11" t="str">
        <x:v>2026金融EMBA面向企业经营者及金融或企业中高层；学历与工作年限按当届招生规则。</x:v>
      </x:c>
      <x:c r="E28" s="11" t="str">
        <x:v>补充参考。有助比较不同商学院价格与选拔，不代表我们的社会化会员能使用相同招生与学历产品。</x:v>
      </x:c>
      <x:c r="F28" s="12" t="str">
        <x:v>打开原文</x:v>
      </x:c>
    </x:row>
    <x:row r="29" ht="26.399999618530273" hidden="0" customHeight="1">
      <x:c r="A29" s="10" t="str">
        <x:v>深商联</x:v>
      </x:c>
      <x:c r="B29" s="10" t="str">
        <x:v>地方企业与细分社群</x:v>
      </x:c>
      <x:c r="C29" s="10" t="str">
        <x:v>深圳</x:v>
      </x:c>
      <x:c r="D29" s="10" t="str">
        <x:v>深圳企业经营者；木棉会专门组织女性文化健康活动，菁英会面向年轻深商。</x:v>
      </x:c>
      <x:c r="E29" s="10" t="str">
        <x:v>补充参考。可学在大社群内按生活阶段与兴趣拆小组，商业和生活需求才有具体承接者。</x:v>
      </x:c>
      <x:c r="F29" s="13" t="str">
        <x:v>打开原文</x:v>
      </x:c>
    </x:row>
    <x:row r="30" ht="26.399999618530273" hidden="0" customHeight="1">
      <x:c r="A30" s="11" t="str">
        <x:v>深圳市侨商国际联合会</x:v>
      </x:c>
      <x:c r="B30" s="11" t="str">
        <x:v>侨商身份与商业组织</x:v>
      </x:c>
      <x:c r="C30" s="11" t="str">
        <x:v>深圳</x:v>
      </x:c>
      <x:c r="D30" s="11" t="str">
        <x:v>在深圳注册投资的侨商、港澳及相关企业和个人，申请依身份与经营联系审核。</x:v>
      </x:c>
      <x:c r="E30" s="11" t="str">
        <x:v>补充参考。适合研究身份筛选与组织职务收费；职务会费与服务套餐等级的含义不同。</x:v>
      </x:c>
      <x:c r="F30" s="12" t="str">
        <x:v>打开原文</x:v>
      </x:c>
    </x:row>
    <x:row r="31" ht="26.399999618530273" hidden="0" customHeight="1">
      <x:c r="A31" s="10" t="str">
        <x:v>上海美国商会</x:v>
      </x:c>
      <x:c r="B31" s="10" t="str">
        <x:v>国际商务会员组织</x:v>
      </x:c>
      <x:c r="C31" s="10" t="str">
        <x:v>上海及长三角</x:v>
      </x:c>
      <x:c r="D31" s="10" t="str">
        <x:v>在中美有合法商业联系的公司；个人会员面向21岁以上在华外籍居民并需全职工作证明。</x:v>
      </x:c>
      <x:c r="E31" s="10" t="str">
        <x:v>补充参考。可学一份公司关系服务多位使用人，委员会形成持续议题；更适合商务维度。</x:v>
      </x:c>
      <x:c r="F31" s="13" t="str">
        <x:v>打开原文</x:v>
      </x:c>
    </x:row>
    <x:row r="32" ht="26.399999618530273" hidden="0" customHeight="1">
      <x:c r="A32" s="11" t="str">
        <x:v>中国美国商会</x:v>
      </x:c>
      <x:c r="B32" s="11" t="str">
        <x:v>国际商务会员组织</x:v>
      </x:c>
      <x:c r="C32" s="11" t="str">
        <x:v>北京及中国多城市</x:v>
      </x:c>
      <x:c r="D32" s="11" t="str">
        <x:v>有中美商业联系的企业与在华经营负责人；公司、活动嘉宾及赞助伙伴需要分别识别。</x:v>
      </x:c>
      <x:c r="E32" s="11" t="str">
        <x:v>补充参考。与上海美商会比较单位会员和活动票，避免把赞助金额写成年费。</x:v>
      </x:c>
      <x:c r="F32" s="12" t="str">
        <x:v>打开原文</x:v>
      </x:c>
    </x:row>
    <x:row r="33" ht="26.399999618530273" hidden="0" customHeight="1">
      <x:c r="A33" s="10" t="str">
        <x:v>上海新沪商联合会</x:v>
      </x:c>
      <x:c r="B33" s="10" t="str">
        <x:v>企业家商会／历史收费参照</x:v>
      </x:c>
      <x:c r="C33" s="10" t="str">
        <x:v>上海</x:v>
      </x:c>
      <x:c r="D33" s="10" t="str">
        <x:v>以上海企业会员单位为基础，按普通会员、理事、副会长等组织职务分档。</x:v>
      </x:c>
      <x:c r="E33" s="10" t="str">
        <x:v>补充参考。保留为历史职务会费参照，不进入当前品牌声量或经营表现排名。</x:v>
      </x:c>
      <x:c r="F33" s="13" t="str">
        <x:v>打开原文</x:v>
      </x:c>
    </x:row>
    <x:row r="34" ht="26.399999618530273" hidden="0" customHeight="1">
      <x:c r="A34" s="11" t="str">
        <x:v>阿拉善SEE生态协会</x:v>
      </x:c>
      <x:c r="B34" s="11" t="str">
        <x:v>企业家公益会员组织</x:v>
      </x:c>
      <x:c r="C34" s="11" t="str">
        <x:v>全国地方项目</x:v>
      </x:c>
      <x:c r="D34" s="11" t="str">
        <x:v>愿意持续捐赠并亲身参与环保的企业家；共同任务是环保，社交与企业互访发生在共同参与中。</x:v>
      </x:c>
      <x:c r="E34" s="11" t="str">
        <x:v>补充参考。可学会员共同治理、推荐与参与贡献的可见回报；公益使命不能直接包装成付费社交承诺。</x:v>
      </x:c>
      <x:c r="F34" s="12" t="str">
        <x:v>打开原文</x:v>
      </x:c>
    </x:row>
    <x:row r="35" ht="105.5999984741211" hidden="0" customHeight="1">
      <x:c r="A35" s="10" t="str">
        <x:v>我主良缘</x:v>
      </x:c>
      <x:c r="B35" s="10" t="str">
        <x:v>专业婚恋与关系服务</x:v>
      </x:c>
      <x:c r="C35" s="10" t="str">
        <x:v>全国</x:v>
      </x:c>
      <x:c r="D35" s="10" t="str">
        <x:v>客户是有明确结婚打算、希望有人帮忙找对象的单身人士。官网列出的对象包括公务员、事业单位及国企员工、海归、金融从业者、企业主、教师、医护和企业高管。职业覆盖较广，公开资料未提供A8客户占比或统一资产准入标准。 它把服务拆成几件事：匹配师负责找人，情感指导师帮助沟通与交往，形象管理师负责外在呈现；派聚社交承接活动和旅行社交。这比单纯出售相亲名额更接近你们希望组合的产品。是否每份合同都同时配齐三种老师，要看具体购买内容。</x:v>
      </x:c>
      <x:c r="E35" s="10" t="str">
        <x:v>婚恋专项优先。纳入六家，重点研究多产品交付与销售边界。派聚与旅行相关，但尚未证实形成持续盈利的高端旅游产品。</x:v>
      </x:c>
      <x:c r="F35" s="13" t="str">
        <x:v>打开原文</x:v>
      </x:c>
    </x:row>
    <x:row r="36" ht="105.5999984741211" hidden="0" customHeight="1">
      <x:c r="A36" s="11" t="str">
        <x:v>金凤凰深港婚恋</x:v>
      </x:c>
      <x:c r="B36" s="11" t="str">
        <x:v>专业婚恋与关系服务</x:v>
      </x:c>
      <x:c r="C36" s="11" t="str">
        <x:v>深圳、香港及合作地区</x:v>
      </x:c>
      <x:c r="D36" s="11" t="str">
        <x:v>它在深圳经营婚介、红娘匹配和线下交友，官网介绍深圳业务于2004年设立。公开目标年龄22至70岁，覆盖白领、公务员、企业主及中老年、离异再婚需求。与它关联的婚姻家庭社工中心另做公益与家庭服务，商业婚介和公益服务不是同一个收入主体。 最具体的客户证据来自产品分层：高级VIP偏国内有房有车等条件，银卡扩展至港澳对象，金卡可安排香港见面，白金转为企业主、高管及猎头团队。它的区分重点是找什么样的人、去哪里找、由什么团队服务，未公开统一资产门槛。</x:v>
      </x:c>
      <x:c r="E36" s="11" t="str">
        <x:v>婚恋专项优先。纳入六家，研究深港区域匹配和活动产品；实际A8客户规模未公开。</x:v>
      </x:c>
      <x:c r="F36" s="12" t="str">
        <x:v>打开原文</x:v>
      </x:c>
    </x:row>
    <x:row r="37" ht="79.19999694824219" hidden="0" customHeight="1">
      <x:c r="A37" s="10" t="str">
        <x:v>珍爱网</x:v>
      </x:c>
      <x:c r="B37" s="10" t="str">
        <x:v>专业婚恋与关系服务</x:v>
      </x:c>
      <x:c r="C37" s="10" t="str">
        <x:v>全国</x:v>
      </x:c>
      <x:c r="D37" s="10" t="str">
        <x:v>珍爱网通过网站和App吸引单身客户，销售线上功能及VIP红娘托管，核心购买理由是有人替自己筛选对象、沟通和安排见面。现行协议面向成年单身人士，也允许经子女知情同意的父母代为寻偶。它覆盖大众到定制婚恋，未公开A8专属客户的规模。 当前官网把红娘服务写成五步：沟通需求并开通方案、筛选推荐、红娘牵线、安排约会、跟进关系。这是本轮三家中较清楚的标准服务说明。</x:v>
      </x:c>
      <x:c r="E37" s="10" t="str">
        <x:v>补充参考。纳入六家，研究规模经营、服务外包转型与履约管理。</x:v>
      </x:c>
      <x:c r="F37" s="13" t="str">
        <x:v>打开原文</x:v>
      </x:c>
    </x:row>
    <x:row r="38" ht="26.399999618530273" hidden="0" customHeight="1">
      <x:c r="A38" s="11" t="str">
        <x:v>大超说媒</x:v>
      </x:c>
      <x:c r="B38" s="11" t="str">
        <x:v>婚恋：内容、活动、顾问</x:v>
      </x:c>
      <x:c r="C38" s="11" t="str">
        <x:v>全国／按场次城市</x:v>
      </x:c>
      <x:c r="D38" s="11" t="str">
        <x:v>有具体择偶困惑、希望本人咨询的单身客户；年龄、职业准入未披露</x:v>
      </x:c>
      <x:c r="E38" s="11" t="str">
        <x:v>婚恋专项优先。最值得学习的是把择偶议题变成传播，再把人分流到不同产品；活动收费需继续取得当期页</x:v>
      </x:c>
      <x:c r="F38" s="12" t="str">
        <x:v>打开原文</x:v>
      </x:c>
    </x:row>
    <x:row r="39" ht="26.399999618530273" hidden="0" customHeight="1">
      <x:c r="A39" s="10" t="str">
        <x:v>陌上花开HIMMR</x:v>
      </x:c>
      <x:c r="B39" s="10" t="str">
        <x:v>高学历婚恋社群</x:v>
      </x:c>
      <x:c r="C39" s="10" t="str">
        <x:v>全国／按场次城市</x:v>
      </x:c>
      <x:c r="D39" s="10" t="str">
        <x:v>官网定位985/211、海外QS100背景；金融、互联网、高校从业者；各商品的独立年龄及职业准入未披露</x:v>
      </x:c>
      <x:c r="E39" s="10" t="str">
        <x:v>婚恋专项优先。与本项目单身线最接近：背景筛选、兴趣见面和后续顾问；高学历不等于A8</x:v>
      </x:c>
      <x:c r="F39" s="13" t="str">
        <x:v>打开原文</x:v>
      </x:c>
    </x:row>
    <x:row r="40" ht="26.399999618530273" hidden="0" customHeight="1">
      <x:c r="A40" s="11" t="str">
        <x:v>青藤之恋</x:v>
      </x:c>
      <x:c r="B40" s="11" t="str">
        <x:v>互联网推荐＋AI牵线</x:v>
      </x:c>
      <x:c r="C40" s="11" t="str">
        <x:v>全国／按场次城市</x:v>
      </x:c>
      <x:c r="D40" s="11" t="str">
        <x:v>开发者定位名校毕业生、互联网从业者、体制内青年，寻求长期关系；无公开25—35岁等核心年龄统计</x:v>
      </x:c>
      <x:c r="E40" s="11" t="str">
        <x:v>补充参考。学习低价进入、需求标签及按牵线收费；不作为高端社群经营成功证据</x:v>
      </x:c>
      <x:c r="F40" s="12" t="str">
        <x:v>打开原文</x:v>
      </x:c>
    </x:row>
    <x:row r="41" ht="26.399999618530273" hidden="0" customHeight="1">
      <x:c r="A41" s="10" t="str">
        <x:v>牵手</x:v>
      </x:c>
      <x:c r="B41" s="10" t="str">
        <x:v>恋爱匹配和约会工具</x:v>
      </x:c>
      <x:c r="C41" s="10" t="str">
        <x:v>全国／按场次城市</x:v>
      </x:c>
      <x:c r="D41" s="10" t="str">
        <x:v>认真恋爱的单身用户；产品按条件、性格、观念、生活方式匹配；核心年龄、实际职业占比未公开</x:v>
      </x:c>
      <x:c r="E41" s="10" t="str">
        <x:v>补充参考。最清楚的功能拆分收费样本；对新公司更有用的是明确付费交付标准</x:v>
      </x:c>
      <x:c r="F41" s="13" t="str">
        <x:v>打开原文</x:v>
      </x:c>
    </x:row>
  </x:sheetData>
  <x:hyperlinks>
    <x:hyperlink xmlns:r="http://schemas.openxmlformats.org/officeDocument/2006/relationships" ref="F6" r:id="rIdResearch1"/>
    <x:hyperlink xmlns:r="http://schemas.openxmlformats.org/officeDocument/2006/relationships" ref="F7" r:id="rIdResearch2"/>
    <x:hyperlink xmlns:r="http://schemas.openxmlformats.org/officeDocument/2006/relationships" ref="F8" r:id="rIdResearch3"/>
    <x:hyperlink xmlns:r="http://schemas.openxmlformats.org/officeDocument/2006/relationships" ref="F9" r:id="rIdResearch4"/>
    <x:hyperlink xmlns:r="http://schemas.openxmlformats.org/officeDocument/2006/relationships" ref="F10" r:id="rIdResearch5"/>
    <x:hyperlink xmlns:r="http://schemas.openxmlformats.org/officeDocument/2006/relationships" ref="F11" r:id="rIdResearch6"/>
    <x:hyperlink xmlns:r="http://schemas.openxmlformats.org/officeDocument/2006/relationships" ref="F12" r:id="rIdResearch7"/>
    <x:hyperlink xmlns:r="http://schemas.openxmlformats.org/officeDocument/2006/relationships" ref="F13" r:id="rIdResearch8"/>
    <x:hyperlink xmlns:r="http://schemas.openxmlformats.org/officeDocument/2006/relationships" ref="F14" r:id="rIdResearch9"/>
    <x:hyperlink xmlns:r="http://schemas.openxmlformats.org/officeDocument/2006/relationships" ref="F15" r:id="rIdResearch10"/>
    <x:hyperlink xmlns:r="http://schemas.openxmlformats.org/officeDocument/2006/relationships" ref="F16" r:id="rIdResearch11"/>
    <x:hyperlink xmlns:r="http://schemas.openxmlformats.org/officeDocument/2006/relationships" ref="F17" r:id="rIdResearch12"/>
    <x:hyperlink xmlns:r="http://schemas.openxmlformats.org/officeDocument/2006/relationships" ref="F18" r:id="rIdResearch13"/>
    <x:hyperlink xmlns:r="http://schemas.openxmlformats.org/officeDocument/2006/relationships" ref="F19" r:id="rIdResearch14"/>
    <x:hyperlink xmlns:r="http://schemas.openxmlformats.org/officeDocument/2006/relationships" ref="F20" r:id="rIdResearch15"/>
    <x:hyperlink xmlns:r="http://schemas.openxmlformats.org/officeDocument/2006/relationships" ref="F21" r:id="rIdResearch16"/>
    <x:hyperlink xmlns:r="http://schemas.openxmlformats.org/officeDocument/2006/relationships" ref="F22" r:id="rIdResearch17"/>
    <x:hyperlink xmlns:r="http://schemas.openxmlformats.org/officeDocument/2006/relationships" ref="F23" r:id="rIdResearch18"/>
    <x:hyperlink xmlns:r="http://schemas.openxmlformats.org/officeDocument/2006/relationships" ref="F24" r:id="rIdResearch19"/>
    <x:hyperlink xmlns:r="http://schemas.openxmlformats.org/officeDocument/2006/relationships" ref="F25" r:id="rIdResearch20"/>
    <x:hyperlink xmlns:r="http://schemas.openxmlformats.org/officeDocument/2006/relationships" ref="F26" r:id="rIdResearch21"/>
    <x:hyperlink xmlns:r="http://schemas.openxmlformats.org/officeDocument/2006/relationships" ref="F27" r:id="rIdResearch22"/>
    <x:hyperlink xmlns:r="http://schemas.openxmlformats.org/officeDocument/2006/relationships" ref="F28" r:id="rIdResearch23"/>
    <x:hyperlink xmlns:r="http://schemas.openxmlformats.org/officeDocument/2006/relationships" ref="F29" r:id="rIdResearch24"/>
    <x:hyperlink xmlns:r="http://schemas.openxmlformats.org/officeDocument/2006/relationships" ref="F30" r:id="rIdResearch25"/>
    <x:hyperlink xmlns:r="http://schemas.openxmlformats.org/officeDocument/2006/relationships" ref="F31" r:id="rIdResearch26"/>
    <x:hyperlink xmlns:r="http://schemas.openxmlformats.org/officeDocument/2006/relationships" ref="F32" r:id="rIdResearch27"/>
    <x:hyperlink xmlns:r="http://schemas.openxmlformats.org/officeDocument/2006/relationships" ref="F33" r:id="rIdResearch28"/>
    <x:hyperlink xmlns:r="http://schemas.openxmlformats.org/officeDocument/2006/relationships" ref="F34" r:id="rIdResearch29"/>
    <x:hyperlink xmlns:r="http://schemas.openxmlformats.org/officeDocument/2006/relationships" ref="F35" r:id="rIdResearch30"/>
    <x:hyperlink xmlns:r="http://schemas.openxmlformats.org/officeDocument/2006/relationships" ref="F36" r:id="rIdResearch31"/>
    <x:hyperlink xmlns:r="http://schemas.openxmlformats.org/officeDocument/2006/relationships" ref="F37" r:id="rIdResearch32"/>
    <x:hyperlink xmlns:r="http://schemas.openxmlformats.org/officeDocument/2006/relationships" ref="F38" r:id="rIdResearch33"/>
    <x:hyperlink xmlns:r="http://schemas.openxmlformats.org/officeDocument/2006/relationships" ref="F39" r:id="rIdResearch34"/>
    <x:hyperlink xmlns:r="http://schemas.openxmlformats.org/officeDocument/2006/relationships" ref="F40" r:id="rIdResearch35"/>
    <x:hyperlink xmlns:r="http://schemas.openxmlformats.org/officeDocument/2006/relationships" ref="F41" r:id="rIdResearch36"/>
  </x:hyperlinks>
  <x:pageMargins left="0.7" right="0.7" top="0.75" bottom="0.75" header="0.3" footer="0.3"/>
  <x:tableParts count="1">
    <x:tablePart xmlns:r="http://schemas.openxmlformats.org/officeDocument/2006/relationships" r:id="R778d2b556460405f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7" hidden="0" customWidth="1"/>
    <x:col min="2" max="2" width="15" hidden="0" customWidth="1"/>
    <x:col min="3" max="3" width="29" hidden="0" customWidth="1"/>
    <x:col min="4" max="4" width="55" hidden="0" customWidth="1"/>
    <x:col min="5" max="5" width="39" hidden="0" customWidth="1"/>
    <x:col min="6" max="6" width="14" hidden="0" customWidth="1"/>
  </x:cols>
  <x:sheetData>
    <x:row r="1">
      <x:c r="A1" s="1"/>
      <x:c r="B1" s="1"/>
      <x:c r="C1" s="1"/>
      <x:c r="D1" s="1"/>
      <x:c r="E1" s="1"/>
      <x:c r="F1" s="1"/>
    </x:row>
    <x:row r="2" ht="32" customHeight="1">
      <x:c r="A2" s="2" t="str">
        <x:v>收费权益</x:v>
      </x:c>
      <x:c r="B2" s="1"/>
      <x:c r="C2" s="1"/>
      <x:c r="D2" s="1"/>
      <x:c r="E2" s="1"/>
      <x:c r="F2" s="1"/>
    </x:row>
    <x:row r="3" ht="26" customHeight="1">
      <x:c r="A3" s="3" t="str">
        <x:v>先读此表。每行一个收费项目；空白金额表示尚未取得可靠报价，0表示明确免费。</x:v>
      </x:c>
      <x:c r="B3" s="1"/>
      <x:c r="C3" s="1"/>
      <x:c r="D3" s="1"/>
      <x:c r="E3" s="1"/>
      <x:c r="F3" s="1"/>
    </x:row>
    <x:row r="4">
      <x:c r="A4" s="1"/>
      <x:c r="B4" s="1"/>
      <x:c r="C4" s="1"/>
      <x:c r="D4" s="1"/>
      <x:c r="E4" s="1"/>
      <x:c r="F4" s="1"/>
    </x:row>
    <x:row r="5" ht="32" customHeight="1">
      <x:c r="A5" s="8" t="str">
        <x:v>机构及产品</x:v>
      </x:c>
      <x:c r="B5" s="8" t="str">
        <x:v>金额 元</x:v>
      </x:c>
      <x:c r="C5" s="8" t="str">
        <x:v>怎样收费及适用期</x:v>
      </x:c>
      <x:c r="D5" s="8" t="str">
        <x:v>具体包含什么</x:v>
      </x:c>
      <x:c r="E5" s="8" t="str">
        <x:v>尚未明确的合同内容</x:v>
      </x:c>
      <x:c r="F5" s="8" t="str">
        <x:v>原文</x:v>
      </x:c>
    </x:row>
    <x:row r="6" ht="26.399999618530273" hidden="0" customHeight="1">
      <x:c r="A6" s="11" t="str">
        <x:v>钻石婚恋
爱情定制标准版</x:v>
      </x:c>
      <x:c r="B6" s="18" t="n">
        <x:v>300000</x:v>
      </x:c>
      <x:c r="C6" s="11" t="str">
        <x:v>项目标价 服务总期未列</x:v>
      </x:c>
      <x:c r="D6" s="11" t="str">
        <x:v>高级顾问团队；万人资源库；爱情猎头；五审八核及26维鉴别与引荐；钻石精英会权益</x:v>
      </x:c>
      <x:c r="E6" s="11" t="str">
        <x:v>完整服务期、承诺介绍或约见次数、退改规则</x:v>
      </x:c>
      <x:c r="F6" s="12" t="str">
        <x:v>打开原文</x:v>
      </x:c>
    </x:row>
    <x:row r="7" ht="26.399999618530273" hidden="0" customHeight="1">
      <x:c r="A7" s="10" t="str">
        <x:v>钻石婚恋
爱情定制高级版</x:v>
      </x:c>
      <x:c r="B7" s="19" t="n">
        <x:v>600000</x:v>
      </x:c>
      <x:c r="C7" s="10" t="str">
        <x:v>项目标价 服务总期未列</x:v>
      </x:c>
      <x:c r="D7" s="10" t="str">
        <x:v>资深顾问团队；千人库；增加精英猎访、52维鉴别、关系复盘、深度测评和钻石私董会权益；含标准版</x:v>
      </x:c>
      <x:c r="E7" s="10" t="str">
        <x:v>完整服务期、承诺介绍或约见次数、退改规则</x:v>
      </x:c>
      <x:c r="F7" s="13" t="str">
        <x:v>打开原文</x:v>
      </x:c>
    </x:row>
    <x:row r="8" ht="26.399999618530273" hidden="0" customHeight="1">
      <x:c r="A8" s="11" t="str">
        <x:v>钻石婚恋
爱情定制尊享版</x:v>
      </x:c>
      <x:c r="B8" s="18" t="n">
        <x:v>1000000</x:v>
      </x:c>
      <x:c r="C8" s="11" t="str">
        <x:v>项目起价</x:v>
      </x:c>
      <x:c r="D8" s="11" t="str">
        <x:v>首席团队；定向独享资源与百人库；整体策划；特殊要求猎取；隐私权限；全员团队支援；含前两档</x:v>
      </x:c>
      <x:c r="E8" s="11" t="str">
        <x:v>完整服务期、承诺介绍或约见次数、退改规则</x:v>
      </x:c>
      <x:c r="F8" s="12" t="str">
        <x:v>打开原文</x:v>
      </x:c>
    </x:row>
    <x:row r="9" ht="26.399999618530273" hidden="0" customHeight="1">
      <x:c r="A9" s="10" t="str">
        <x:v>钻石婚恋
家办整体幸福项目</x:v>
      </x:c>
      <x:c r="B9" s="19" t="n">
        <x:v>10000000</x:v>
      </x:c>
      <x:c r="C9" s="10" t="str">
        <x:v>项目起价</x:v>
      </x:c>
      <x:c r="D9" s="10" t="str">
        <x:v>家办专属团队；跨部门整体方案；家族择偶观梳理；其余多项验证会员可见</x:v>
      </x:c>
      <x:c r="E9" s="10" t="str">
        <x:v>完整服务期、承诺介绍或约见次数、退改规则</x:v>
      </x:c>
      <x:c r="F9" s="13" t="str">
        <x:v>打开原文</x:v>
      </x:c>
    </x:row>
    <x:row r="10" ht="26.399999618530273" hidden="0" customHeight="1">
      <x:c r="A10" s="11" t="str">
        <x:v>大超说媒
本人择偶定位</x:v>
      </x:c>
      <x:c r="B10" s="18" t="n">
        <x:v>999</x:v>
      </x:c>
      <x:c r="C10" s="11" t="str">
        <x:v>简介报价 次数和时长未列</x:v>
      </x:c>
      <x:c r="D10" s="11" t="str">
        <x:v>大超本人提供择偶定位</x:v>
      </x:c>
      <x:c r="E10" s="11" t="str">
        <x:v>完整服务期、承诺介绍或约见次数、退改规则</x:v>
      </x:c>
      <x:c r="F10" s="12" t="str">
        <x:v>打开原文</x:v>
      </x:c>
    </x:row>
    <x:row r="11" ht="26.399999618530273" hidden="0" customHeight="1">
      <x:c r="A11" s="10" t="str">
        <x:v>大超说媒
红娘择偶定位</x:v>
      </x:c>
      <x:c r="B11" s="19" t="n">
        <x:v>199</x:v>
      </x:c>
      <x:c r="C11" s="10" t="str">
        <x:v>简介报价 次数和时长未列</x:v>
      </x:c>
      <x:c r="D11" s="10" t="str">
        <x:v>红娘提供定位</x:v>
      </x:c>
      <x:c r="E11" s="10" t="str">
        <x:v>完整服务期、承诺介绍或约见次数、退改规则</x:v>
      </x:c>
      <x:c r="F11" s="13" t="str">
        <x:v>打开原文</x:v>
      </x:c>
    </x:row>
    <x:row r="12" ht="26.399999618530273" hidden="0" customHeight="1">
      <x:c r="A12" s="11" t="str">
        <x:v>金凤凰深港婚恋
网站注册会员</x:v>
      </x:c>
      <x:c r="B12" s="18" t="n">
        <x:v>0</x:v>
      </x:c>
      <x:c r="C12" s="11" t="str">
        <x:v>网站注册免费 其他等级未公布完整报价</x:v>
      </x:c>
      <x:c r="D12" s="11" t="str">
        <x:v>自助交友 无红娘服务</x:v>
      </x:c>
      <x:c r="E12" s="11" t="str">
        <x:v>完整服务期、承诺介绍或约见次数、退改规则</x:v>
      </x:c>
      <x:c r="F12" s="12" t="str">
        <x:v>打开原文</x:v>
      </x:c>
    </x:row>
    <x:row r="13" ht="26.399999618530273" hidden="0" customHeight="1">
      <x:c r="A13" s="10" t="str">
        <x:v>金凤凰深港婚恋
实名认证会员</x:v>
      </x:c>
      <x:c r="B13" s="19"/>
      <x:c r="C13" s="10" t="str">
        <x:v>网站注册免费 其他等级未公布完整报价</x:v>
      </x:c>
      <x:c r="D13" s="10" t="str">
        <x:v>与同级或低等级会员自助交友 无线下红娘</x:v>
      </x:c>
      <x:c r="E13" s="10" t="str">
        <x:v>完整服务期、承诺介绍或约见次数、退改规则</x:v>
      </x:c>
      <x:c r="F13" s="13" t="str">
        <x:v>打开原文</x:v>
      </x:c>
    </x:row>
    <x:row r="14" ht="26.399999618530273" hidden="0" customHeight="1">
      <x:c r="A14" s="11" t="str">
        <x:v>金凤凰深港婚恋
普通VIP</x:v>
      </x:c>
      <x:c r="B14" s="18"/>
      <x:c r="C14" s="11" t="str">
        <x:v>网站注册免费 其他等级未公布完整报价</x:v>
      </x:c>
      <x:c r="D14" s="11" t="str">
        <x:v>红娘推荐国内会员 可多对一 优先推荐</x:v>
      </x:c>
      <x:c r="E14" s="11" t="str">
        <x:v>完整服务期、承诺介绍或约见次数、退改规则</x:v>
      </x:c>
      <x:c r="F14" s="12" t="str">
        <x:v>打开原文</x:v>
      </x:c>
    </x:row>
    <x:row r="15" ht="26.399999618530273" hidden="0" customHeight="1">
      <x:c r="A15" s="10" t="str">
        <x:v>金凤凰深港婚恋
高级VIP</x:v>
      </x:c>
      <x:c r="B15" s="19"/>
      <x:c r="C15" s="10" t="str">
        <x:v>网站注册免费 其他等级未公布完整报价</x:v>
      </x:c>
      <x:c r="D15" s="10" t="str">
        <x:v>一对一或多对一 优先推荐国内有房有车或公务员对象</x:v>
      </x:c>
      <x:c r="E15" s="10" t="str">
        <x:v>完整服务期、承诺介绍或约见次数、退改规则</x:v>
      </x:c>
      <x:c r="F15" s="13" t="str">
        <x:v>打开原文</x:v>
      </x:c>
    </x:row>
    <x:row r="16" ht="26.399999618530273" hidden="0" customHeight="1">
      <x:c r="A16" s="11" t="str">
        <x:v>金凤凰深港婚恋
银卡VIP</x:v>
      </x:c>
      <x:c r="B16" s="18"/>
      <x:c r="C16" s="11" t="str">
        <x:v>网站注册免费 其他等级未公布完整报价</x:v>
      </x:c>
      <x:c r="D16" s="11" t="str">
        <x:v>资深红娘 推荐国内及港澳优质对象</x:v>
      </x:c>
      <x:c r="E16" s="11" t="str">
        <x:v>完整服务期、承诺介绍或约见次数、退改规则</x:v>
      </x:c>
      <x:c r="F16" s="12" t="str">
        <x:v>打开原文</x:v>
      </x:c>
    </x:row>
    <x:row r="17" ht="26.399999618530273" hidden="0" customHeight="1">
      <x:c r="A17" s="10" t="str">
        <x:v>金凤凰深港婚恋
金卡VIP</x:v>
      </x:c>
      <x:c r="B17" s="19"/>
      <x:c r="C17" s="10" t="str">
        <x:v>网站注册免费 其他等级未公布完整报价</x:v>
      </x:c>
      <x:c r="D17" s="10" t="str">
        <x:v>资深红娘 可安排香港见面 免费香港分支跟踪</x:v>
      </x:c>
      <x:c r="E17" s="10" t="str">
        <x:v>完整服务期、承诺介绍或约见次数、退改规则</x:v>
      </x:c>
      <x:c r="F17" s="13" t="str">
        <x:v>打开原文</x:v>
      </x:c>
    </x:row>
    <x:row r="18" ht="26.399999618530273" hidden="0" customHeight="1">
      <x:c r="A18" s="11" t="str">
        <x:v>金凤凰深港婚恋
白金VIP</x:v>
      </x:c>
      <x:c r="B18" s="18"/>
      <x:c r="C18" s="11" t="str">
        <x:v>网站注册免费 其他等级未公布完整报价</x:v>
      </x:c>
      <x:c r="D18" s="11" t="str">
        <x:v>猎头部资深婚恋师多对一 优先推荐企业主高管 个性化方案</x:v>
      </x:c>
      <x:c r="E18" s="11" t="str">
        <x:v>完整服务期、承诺介绍或约见次数、退改规则</x:v>
      </x:c>
      <x:c r="F18" s="12" t="str">
        <x:v>打开原文</x:v>
      </x:c>
    </x:row>
    <x:row r="19" ht="26.399999618530273" hidden="0" customHeight="1">
      <x:c r="A19" s="10" t="str">
        <x:v>金凤凰深港婚恋
钻石VIP</x:v>
      </x:c>
      <x:c r="B19" s="19"/>
      <x:c r="C19" s="10" t="str">
        <x:v>网站注册免费 其他等级未公布完整报价</x:v>
      </x:c>
      <x:c r="D19" s="10" t="str">
        <x:v>总公司猎头经理多对一 中国及全球合作单位推荐 公司承担全球推广</x:v>
      </x:c>
      <x:c r="E19" s="10" t="str">
        <x:v>完整服务期、承诺介绍或约见次数、退改规则</x:v>
      </x:c>
      <x:c r="F19" s="13" t="str">
        <x:v>打开原文</x:v>
      </x:c>
    </x:row>
    <x:row r="20" ht="26.399999618530273" hidden="0" customHeight="1">
      <x:c r="A20" s="11" t="str">
        <x:v>金凤凰深港婚恋
钻石王VIP</x:v>
      </x:c>
      <x:c r="B20" s="18"/>
      <x:c r="C20" s="11" t="str">
        <x:v>网站注册免费 其他等级未公布完整报价</x:v>
      </x:c>
      <x:c r="D20" s="11" t="str">
        <x:v>总公司猎头经理多对一 量身定制婚恋</x:v>
      </x:c>
      <x:c r="E20" s="11" t="str">
        <x:v>完整服务期、承诺介绍或约见次数、退改规则</x:v>
      </x:c>
      <x:c r="F20" s="12" t="str">
        <x:v>打开原文</x:v>
      </x:c>
    </x:row>
    <x:row r="21" ht="26.399999618530273" hidden="0" customHeight="1">
      <x:c r="A21" s="10" t="str">
        <x:v>金凤凰深港婚恋
9月20日深港二婚专场</x:v>
      </x:c>
      <x:c r="B21" s="19" t="n">
        <x:v>99</x:v>
      </x:c>
      <x:c r="C21" s="10" t="str">
        <x:v>元每人 单场</x:v>
      </x:c>
      <x:c r="D21" s="10" t="str">
        <x:v>大梅沙高档酒店场地及茶歇；14时至17时；轮转交流；招募30男30女</x:v>
      </x:c>
      <x:c r="E21" s="10" t="str">
        <x:v>实到人数、实收收入、活动后转购</x:v>
      </x:c>
      <x:c r="F21" s="13" t="str">
        <x:v>打开原文</x:v>
      </x:c>
    </x:row>
    <x:row r="22" ht="26.399999618530273" hidden="0" customHeight="1">
      <x:c r="A22" s="11" t="str">
        <x:v>大超说媒
高净值单身局</x:v>
      </x:c>
      <x:c r="B22" s="18"/>
      <x:c r="C22" s="11" t="str">
        <x:v>按单场参加</x:v>
      </x:c>
      <x:c r="D22" s="11" t="str">
        <x:v>验资、面试等按场次；10月深圳活动和10月18日聚会有公开内容</x:v>
      </x:c>
      <x:c r="E22" s="11" t="str">
        <x:v>本期票价、性别差价、人数、退改</x:v>
      </x:c>
      <x:c r="F22" s="12" t="str">
        <x:v>打开原文</x:v>
      </x:c>
    </x:row>
    <x:row r="23" ht="26.399999618530273" hidden="0" customHeight="1">
      <x:c r="A23" s="10" t="str">
        <x:v>大超说媒
一对一私人定制</x:v>
      </x:c>
      <x:c r="B23" s="19"/>
      <x:c r="C23" s="10" t="str">
        <x:v>定制服务</x:v>
      </x:c>
      <x:c r="D23" s="10" t="str">
        <x:v>简介公开提供私人定制及精准匹配</x:v>
      </x:c>
      <x:c r="E23" s="10" t="str">
        <x:v>总价、服务期、介绍次数、成功收费与退改</x:v>
      </x:c>
      <x:c r="F23" s="13" t="str">
        <x:v>打开原文</x:v>
      </x:c>
    </x:row>
    <x:row r="24" ht="26.399999618530273" hidden="0" customHeight="1">
      <x:c r="A24" s="11" t="str">
        <x:v>HIMMR
同城线下活动</x:v>
      </x:c>
      <x:c r="B24" s="18"/>
      <x:c r="C24" s="11" t="str">
        <x:v>按场次</x:v>
      </x:c>
      <x:c r="D24" s="11" t="str">
        <x:v>8分钟约会、桌游、摇摆舞、飞盘等</x:v>
      </x:c>
      <x:c r="E24" s="11" t="str">
        <x:v>近期活动票价、名额及退改</x:v>
      </x:c>
      <x:c r="F24" s="12" t="str">
        <x:v>打开原文</x:v>
      </x:c>
    </x:row>
    <x:row r="25" ht="26.399999618530273" hidden="0" customHeight="1">
      <x:c r="A25" s="10" t="str">
        <x:v>HIMMR
王牌1V1</x:v>
      </x:c>
      <x:c r="B25" s="19"/>
      <x:c r="C25" s="10" t="str">
        <x:v>顾问匹配</x:v>
      </x:c>
      <x:c r="D25" s="10" t="str">
        <x:v>红娘陪伴、推荐、深度复盘与个性化指导</x:v>
      </x:c>
      <x:c r="E25" s="10" t="str">
        <x:v>总价、合同期、承诺推荐次数、退款</x:v>
      </x:c>
      <x:c r="F25" s="13" t="str">
        <x:v>打开原文</x:v>
      </x:c>
    </x:row>
    <x:row r="26" ht="26.399999618530273" hidden="0" customHeight="1">
      <x:c r="A26" s="11" t="str">
        <x:v>我主良缘
门店红娘及匹配方案</x:v>
      </x:c>
      <x:c r="B26" s="18"/>
      <x:c r="C26" s="11" t="str">
        <x:v>门店咨询后签约</x:v>
      </x:c>
      <x:c r="D26" s="11" t="str">
        <x:v>品牌公开提供婚恋匹配、情感咨询和形象管理；各项是否包含须按合同</x:v>
      </x:c>
      <x:c r="E26" s="11" t="str">
        <x:v>各城市产品名称、当前总价、期限、介绍次数、退改</x:v>
      </x:c>
      <x:c r="F26" s="12" t="str">
        <x:v>打开原文</x:v>
      </x:c>
    </x:row>
    <x:row r="27" ht="26.399999618530273" hidden="0" customHeight="1">
      <x:c r="A27" s="10" t="str">
        <x:v>我主良缘
派聚社交</x:v>
      </x:c>
      <x:c r="B27" s="19"/>
      <x:c r="C27" s="10" t="str">
        <x:v>旅行社交产品线</x:v>
      </x:c>
      <x:c r="D27" s="10" t="str">
        <x:v>集团官网列为旅行社交品牌</x:v>
      </x:c>
      <x:c r="E27" s="10" t="str">
        <x:v>当前在售行程、单价、包含项、旅行交付主体、成团回顾</x:v>
      </x:c>
      <x:c r="F27" s="13" t="str">
        <x:v>打开原文</x:v>
      </x:c>
    </x:row>
    <x:row r="28" ht="26.399999618530273" hidden="0" customHeight="1">
      <x:c r="A28" s="11" t="str">
        <x:v>青藤之恋
198元订阅商品</x:v>
      </x:c>
      <x:c r="B28" s="18" t="n">
        <x:v>198</x:v>
      </x:c>
      <x:c r="C28" s="11" t="str">
        <x:v>订阅；周期未显示；2026-10-22公开报价</x:v>
      </x:c>
      <x:c r="D28" s="11" t="str">
        <x:v>商品名称无期限和完整权益；不按年费排列</x:v>
      </x:c>
      <x:c r="E28" s="11" t="str">
        <x:v>原核查期；按所引来源使用，线上产品为补充参考</x:v>
      </x:c>
      <x:c r="F28" s="12" t="str">
        <x:v>打开原文</x:v>
      </x:c>
    </x:row>
    <x:row r="29" ht="26.399999618530273" hidden="0" customHeight="1">
      <x:c r="A29" s="10" t="str">
        <x:v>青藤之恋
318元订阅商品</x:v>
      </x:c>
      <x:c r="B29" s="19" t="n">
        <x:v>318</x:v>
      </x:c>
      <x:c r="C29" s="10" t="str">
        <x:v>订阅；周期未显示；2026-10-22公开报价</x:v>
      </x:c>
      <x:c r="D29" s="10" t="str">
        <x:v>商品名称无期限和完整权益；不按年费排列</x:v>
      </x:c>
      <x:c r="E29" s="10" t="str">
        <x:v>原核查期；按所引来源使用，线上产品为补充参考</x:v>
      </x:c>
      <x:c r="F29" s="13" t="str">
        <x:v>打开原文</x:v>
      </x:c>
    </x:row>
    <x:row r="30" ht="26.399999618530273" hidden="0" customHeight="1">
      <x:c r="A30" s="11" t="str">
        <x:v>青藤之恋
488元订阅商品</x:v>
      </x:c>
      <x:c r="B30" s="18" t="n">
        <x:v>488</x:v>
      </x:c>
      <x:c r="C30" s="11" t="str">
        <x:v>订阅；周期未显示；2026-10-22公开报价</x:v>
      </x:c>
      <x:c r="D30" s="11" t="str">
        <x:v>商品名称无期限和完整权益；不按年费排列</x:v>
      </x:c>
      <x:c r="E30" s="11" t="str">
        <x:v>原核查期；按所引来源使用，线上产品为补充参考</x:v>
      </x:c>
      <x:c r="F30" s="12" t="str">
        <x:v>打开原文</x:v>
      </x:c>
    </x:row>
    <x:row r="31" ht="26.399999618530273" hidden="0" customHeight="1">
      <x:c r="A31" s="10" t="str">
        <x:v>青藤之恋
568元订阅商品</x:v>
      </x:c>
      <x:c r="B31" s="19" t="n">
        <x:v>568</x:v>
      </x:c>
      <x:c r="C31" s="10" t="str">
        <x:v>订阅；周期未显示；2026-10-22公开报价</x:v>
      </x:c>
      <x:c r="D31" s="10" t="str">
        <x:v>商品名称无期限和完整权益；不按年费排列</x:v>
      </x:c>
      <x:c r="E31" s="10" t="str">
        <x:v>原核查期；按所引来源使用，线上产品为补充参考</x:v>
      </x:c>
      <x:c r="F31" s="13" t="str">
        <x:v>打开原文</x:v>
      </x:c>
    </x:row>
    <x:row r="32" ht="26.399999618530273" hidden="0" customHeight="1">
      <x:c r="A32" s="11" t="str">
        <x:v>青藤之恋
10位精选嘉宾</x:v>
      </x:c>
      <x:c r="B32" s="18" t="n">
        <x:v>40</x:v>
      </x:c>
      <x:c r="C32" s="11" t="str">
        <x:v>10位；2026-10-22公开报价</x:v>
      </x:c>
      <x:c r="D32" s="11" t="str">
        <x:v>更多推荐，不是保证10次见面</x:v>
      </x:c>
      <x:c r="E32" s="11" t="str">
        <x:v>原核查期；按所引来源使用，线上产品为补充参考</x:v>
      </x:c>
      <x:c r="F32" s="12" t="str">
        <x:v>打开原文</x:v>
      </x:c>
    </x:row>
    <x:row r="33" ht="26.399999618530273" hidden="0" customHeight="1">
      <x:c r="A33" s="10" t="str">
        <x:v>青藤之恋
一档曝光</x:v>
      </x:c>
      <x:c r="B33" s="19" t="n">
        <x:v>108</x:v>
      </x:c>
      <x:c r="C33" s="10" t="str">
        <x:v>档；2026-10-22公开报价</x:v>
      </x:c>
      <x:c r="D33" s="10" t="str">
        <x:v>增加曝光；持续时间、展示次数未公开</x:v>
      </x:c>
      <x:c r="E33" s="10" t="str">
        <x:v>原核查期；按所引来源使用，线上产品为补充参考</x:v>
      </x:c>
      <x:c r="F33" s="13" t="str">
        <x:v>打开原文</x:v>
      </x:c>
    </x:row>
    <x:row r="34" ht="26.399999618530273" hidden="0" customHeight="1">
      <x:c r="A34" s="11" t="str">
        <x:v>青藤之恋
1000青藤币</x:v>
      </x:c>
      <x:c r="B34" s="18" t="n">
        <x:v>108</x:v>
      </x:c>
      <x:c r="C34" s="11" t="str">
        <x:v>1000币；2026-10-22公开报价</x:v>
      </x:c>
      <x:c r="D34" s="11" t="str">
        <x:v>虚拟币；不同于订阅</x:v>
      </x:c>
      <x:c r="E34" s="11" t="str">
        <x:v>原核查期；按所引来源使用，线上产品为补充参考</x:v>
      </x:c>
      <x:c r="F34" s="12" t="str">
        <x:v>打开原文</x:v>
      </x:c>
    </x:row>
    <x:row r="35" ht="26.399999618530273" hidden="0" customHeight="1">
      <x:c r="A35" s="10" t="str">
        <x:v>青藤之恋／恋爱主理人
1次牵线权益</x:v>
      </x:c>
      <x:c r="B35" s="19" t="n">
        <x:v>99</x:v>
      </x:c>
      <x:c r="C35" s="10" t="str">
        <x:v>1次；2026-10-22公开报价</x:v>
      </x:c>
      <x:c r="D35" s="10" t="str">
        <x:v>AI梳理要求、推荐和牵线；3天未牵上线退次数，非现金退款或保证见面</x:v>
      </x:c>
      <x:c r="E35" s="10" t="str">
        <x:v>原核查期；按所引来源使用，线上产品为补充参考</x:v>
      </x:c>
      <x:c r="F35" s="13" t="str">
        <x:v>打开原文</x:v>
      </x:c>
    </x:row>
    <x:row r="36" ht="26.399999618530273" hidden="0" customHeight="1">
      <x:c r="A36" s="11" t="str">
        <x:v>青藤之恋／恋爱主理人
3次牵线权益</x:v>
      </x:c>
      <x:c r="B36" s="18" t="n">
        <x:v>239</x:v>
      </x:c>
      <x:c r="C36" s="11" t="str">
        <x:v>3次；2026-10-22公开报价</x:v>
      </x:c>
      <x:c r="D36" s="11" t="str">
        <x:v>AI梳理要求、推荐和牵线；3天未牵上线退次数，非现金退款或保证见面</x:v>
      </x:c>
      <x:c r="E36" s="11" t="str">
        <x:v>原核查期；按所引来源使用，线上产品为补充参考</x:v>
      </x:c>
      <x:c r="F36" s="12" t="str">
        <x:v>打开原文</x:v>
      </x:c>
    </x:row>
    <x:row r="37" ht="26.399999618530273" hidden="0" customHeight="1">
      <x:c r="A37" s="10" t="str">
        <x:v>青藤之恋／恋爱主理人
5次牵线权益</x:v>
      </x:c>
      <x:c r="B37" s="19" t="n">
        <x:v>369</x:v>
      </x:c>
      <x:c r="C37" s="10" t="str">
        <x:v>5次；2026-10-22公开报价</x:v>
      </x:c>
      <x:c r="D37" s="10" t="str">
        <x:v>AI梳理要求、推荐和牵线；3天未牵上线退次数，非现金退款或保证见面</x:v>
      </x:c>
      <x:c r="E37" s="10" t="str">
        <x:v>原核查期；按所引来源使用，线上产品为补充参考</x:v>
      </x:c>
      <x:c r="F37" s="13" t="str">
        <x:v>打开原文</x:v>
      </x:c>
    </x:row>
    <x:row r="38" ht="26.399999618530273" hidden="0" customHeight="1">
      <x:c r="A38" s="11" t="str">
        <x:v>牵手
VIP</x:v>
      </x:c>
      <x:c r="B38" s="18" t="n">
        <x:v>29</x:v>
      </x:c>
      <x:c r="C38" s="11" t="str">
        <x:v>7天；2026-10-22公开报价</x:v>
      </x:c>
      <x:c r="D38" s="11" t="str">
        <x:v>额外每日推荐、VIP标识、消息优先、已读状态；不含看谁喜欢我；订阅到期前24小时续扣，需另取消</x:v>
      </x:c>
      <x:c r="E38" s="11" t="str">
        <x:v>原核查期；按所引来源使用，线上产品为补充参考</x:v>
      </x:c>
      <x:c r="F38" s="12" t="str">
        <x:v>打开原文</x:v>
      </x:c>
    </x:row>
    <x:row r="39" ht="26.399999618530273" hidden="0" customHeight="1">
      <x:c r="A39" s="10" t="str">
        <x:v>牵手
VIP</x:v>
      </x:c>
      <x:c r="B39" s="19" t="n">
        <x:v>60</x:v>
      </x:c>
      <x:c r="C39" s="10" t="str">
        <x:v>31天；2026-10-22公开报价</x:v>
      </x:c>
      <x:c r="D39" s="10" t="str">
        <x:v>额外每日推荐、VIP标识、消息优先、已读状态；不含看谁喜欢我；订阅到期前24小时续扣，需另取消</x:v>
      </x:c>
      <x:c r="E39" s="10" t="str">
        <x:v>原核查期；按所引来源使用，线上产品为补充参考</x:v>
      </x:c>
      <x:c r="F39" s="13" t="str">
        <x:v>打开原文</x:v>
      </x:c>
    </x:row>
    <x:row r="40" ht="26.399999618530273" hidden="0" customHeight="1">
      <x:c r="A40" s="11" t="str">
        <x:v>牵手
VIP</x:v>
      </x:c>
      <x:c r="B40" s="18" t="n">
        <x:v>138</x:v>
      </x:c>
      <x:c r="C40" s="11" t="str">
        <x:v>93天；2026-10-22公开报价</x:v>
      </x:c>
      <x:c r="D40" s="11" t="str">
        <x:v>额外每日推荐、VIP标识、消息优先、已读状态；不含看谁喜欢我；订阅到期前24小时续扣，需另取消</x:v>
      </x:c>
      <x:c r="E40" s="11" t="str">
        <x:v>原核查期；按所引来源使用，线上产品为补充参考</x:v>
      </x:c>
      <x:c r="F40" s="12" t="str">
        <x:v>打开原文</x:v>
      </x:c>
    </x:row>
    <x:row r="41" ht="26.399999618530273" hidden="0" customHeight="1">
      <x:c r="A41" s="10" t="str">
        <x:v>牵手
VIP</x:v>
      </x:c>
      <x:c r="B41" s="19" t="n">
        <x:v>388</x:v>
      </x:c>
      <x:c r="C41" s="10" t="str">
        <x:v>372天；2026-10-22公开报价</x:v>
      </x:c>
      <x:c r="D41" s="10" t="str">
        <x:v>额外每日推荐、VIP标识、消息优先、已读状态；不含看谁喜欢我；订阅到期前24小时续扣，需另取消</x:v>
      </x:c>
      <x:c r="E41" s="10" t="str">
        <x:v>原核查期；按所引来源使用，线上产品为补充参考</x:v>
      </x:c>
      <x:c r="F41" s="13" t="str">
        <x:v>打开原文</x:v>
      </x:c>
    </x:row>
    <x:row r="42" ht="26.399999618530273" hidden="0" customHeight="1">
      <x:c r="A42" s="11" t="str">
        <x:v>牵手
看谁喜欢我</x:v>
      </x:c>
      <x:c r="B42" s="18" t="n">
        <x:v>46</x:v>
      </x:c>
      <x:c r="C42" s="11" t="str">
        <x:v>7天；2026-10-22公开报价</x:v>
      </x:c>
      <x:c r="D42" s="11" t="str">
        <x:v>查看喜欢自己的用户公开资料；与VIP分别付费；订阅到期前24小时续扣，需另取消</x:v>
      </x:c>
      <x:c r="E42" s="11" t="str">
        <x:v>原核查期；按所引来源使用，线上产品为补充参考</x:v>
      </x:c>
      <x:c r="F42" s="12" t="str">
        <x:v>打开原文</x:v>
      </x:c>
    </x:row>
    <x:row r="43" ht="26.399999618530273" hidden="0" customHeight="1">
      <x:c r="A43" s="10" t="str">
        <x:v>牵手
看谁喜欢我</x:v>
      </x:c>
      <x:c r="B43" s="19" t="n">
        <x:v>88</x:v>
      </x:c>
      <x:c r="C43" s="10" t="str">
        <x:v>31天；2026-10-22公开报价</x:v>
      </x:c>
      <x:c r="D43" s="10" t="str">
        <x:v>查看喜欢自己的用户公开资料；与VIP分别付费；订阅到期前24小时续扣，需另取消</x:v>
      </x:c>
      <x:c r="E43" s="10" t="str">
        <x:v>原核查期；按所引来源使用，线上产品为补充参考</x:v>
      </x:c>
      <x:c r="F43" s="13" t="str">
        <x:v>打开原文</x:v>
      </x:c>
    </x:row>
    <x:row r="44" ht="26.399999618530273" hidden="0" customHeight="1">
      <x:c r="A44" s="11" t="str">
        <x:v>牵手
看谁喜欢我</x:v>
      </x:c>
      <x:c r="B44" s="18" t="n">
        <x:v>188</x:v>
      </x:c>
      <x:c r="C44" s="11" t="str">
        <x:v>93天；2026-10-22公开报价</x:v>
      </x:c>
      <x:c r="D44" s="11" t="str">
        <x:v>查看喜欢自己的用户公开资料；与VIP分别付费；订阅到期前24小时续扣，需另取消</x:v>
      </x:c>
      <x:c r="E44" s="11" t="str">
        <x:v>原核查期；按所引来源使用，线上产品为补充参考</x:v>
      </x:c>
      <x:c r="F44" s="12" t="str">
        <x:v>打开原文</x:v>
      </x:c>
    </x:row>
    <x:row r="45" ht="26.399999618530273" hidden="0" customHeight="1">
      <x:c r="A45" s="10" t="str">
        <x:v>牵手
看谁喜欢我</x:v>
      </x:c>
      <x:c r="B45" s="19" t="n">
        <x:v>488</x:v>
      </x:c>
      <x:c r="C45" s="10" t="str">
        <x:v>372天；2026-10-22公开报价</x:v>
      </x:c>
      <x:c r="D45" s="10" t="str">
        <x:v>查看喜欢自己的用户公开资料；与VIP分别付费；订阅到期前24小时续扣，需另取消</x:v>
      </x:c>
      <x:c r="E45" s="10" t="str">
        <x:v>原核查期；按所引来源使用，线上产品为补充参考</x:v>
      </x:c>
      <x:c r="F45" s="13" t="str">
        <x:v>打开原文</x:v>
      </x:c>
    </x:row>
    <x:row r="46" ht="26.399999618530273" hidden="0" customHeight="1">
      <x:c r="A46" s="11" t="str">
        <x:v>牵手
牵手币</x:v>
      </x:c>
      <x:c r="B46" s="18" t="n">
        <x:v>6</x:v>
      </x:c>
      <x:c r="C46" s="11" t="str">
        <x:v>42币；2026-10-22公开报价</x:v>
      </x:c>
      <x:c r="D46" s="11" t="str">
        <x:v>送花等虚拟道具；不可抵扣VIP及看谁喜欢我</x:v>
      </x:c>
      <x:c r="E46" s="11" t="str">
        <x:v>原核查期；按所引来源使用，线上产品为补充参考</x:v>
      </x:c>
      <x:c r="F46" s="12" t="str">
        <x:v>打开原文</x:v>
      </x:c>
    </x:row>
    <x:row r="47" ht="26.399999618530273" hidden="0" customHeight="1">
      <x:c r="A47" s="10" t="str">
        <x:v>北京香港马会会所
个人入会费</x:v>
      </x:c>
      <x:c r="B47" s="19" t="n">
        <x:v>600000</x:v>
      </x:c>
      <x:c r="C47" s="10" t="str">
        <x:v>整份会籍／一次；2026-01-01起</x:v>
      </x:c>
      <x:c r="D47" s="10" t="str">
        <x:v>1位登记使用人；设施依规则使用；月费2200元；餐饮住宿及另付活动另外消费</x:v>
      </x:c>
      <x:c r="E47" s="10" t="str">
        <x:v>原核查期；按所引来源使用，线上产品为补充参考</x:v>
      </x:c>
      <x:c r="F47" s="13" t="str">
        <x:v>打开原文</x:v>
      </x:c>
    </x:row>
    <x:row r="48" ht="26.399999618530273" hidden="0" customHeight="1">
      <x:c r="A48" s="11" t="str">
        <x:v>北京香港马会会所
个人月费</x:v>
      </x:c>
      <x:c r="B48" s="18" t="n">
        <x:v>2200</x:v>
      </x:c>
      <x:c r="C48" s="11" t="str">
        <x:v>整份会籍／月；2026-01-01起</x:v>
      </x:c>
      <x:c r="D48" s="11" t="str">
        <x:v>1位登记使用人；另收入会费及消费</x:v>
      </x:c>
      <x:c r="E48" s="11" t="str">
        <x:v>原核查期；按所引来源使用，线上产品为补充参考</x:v>
      </x:c>
      <x:c r="F48" s="12" t="str">
        <x:v>打开原文</x:v>
      </x:c>
    </x:row>
    <x:row r="49" ht="26.399999618530273" hidden="0" customHeight="1">
      <x:c r="A49" s="10" t="str">
        <x:v>北京香港马会会所
公司丙类C入会费</x:v>
      </x:c>
      <x:c r="B49" s="19" t="n">
        <x:v>700000</x:v>
      </x:c>
      <x:c r="C49" s="10" t="str">
        <x:v>整份会籍／一次；2026-01-01起</x:v>
      </x:c>
      <x:c r="D49" s="10" t="str">
        <x:v>1位登记使用人；设施依规则使用；月费2200元；餐饮住宿及另付活动另外消费</x:v>
      </x:c>
      <x:c r="E49" s="10" t="str">
        <x:v>原核查期；按所引来源使用，线上产品为补充参考</x:v>
      </x:c>
      <x:c r="F49" s="13" t="str">
        <x:v>打开原文</x:v>
      </x:c>
    </x:row>
    <x:row r="50" ht="26.399999618530273" hidden="0" customHeight="1">
      <x:c r="A50" s="11" t="str">
        <x:v>北京香港马会会所
公司丙类C月费</x:v>
      </x:c>
      <x:c r="B50" s="18" t="n">
        <x:v>2200</x:v>
      </x:c>
      <x:c r="C50" s="11" t="str">
        <x:v>整份会籍／月；2026-01-01起</x:v>
      </x:c>
      <x:c r="D50" s="11" t="str">
        <x:v>1位登记使用人；另收入会费及消费</x:v>
      </x:c>
      <x:c r="E50" s="11" t="str">
        <x:v>原核查期；按所引来源使用，线上产品为补充参考</x:v>
      </x:c>
      <x:c r="F50" s="12" t="str">
        <x:v>打开原文</x:v>
      </x:c>
    </x:row>
    <x:row r="51" ht="26.399999618530273" hidden="0" customHeight="1">
      <x:c r="A51" s="10" t="str">
        <x:v>北京香港马会会所
公司乙类B入会费</x:v>
      </x:c>
      <x:c r="B51" s="19" t="n">
        <x:v>1300000</x:v>
      </x:c>
      <x:c r="C51" s="10" t="str">
        <x:v>整份会籍／一次；2026-01-01起</x:v>
      </x:c>
      <x:c r="D51" s="10" t="str">
        <x:v>2位登记使用人；设施依规则使用；月费4400元；餐饮住宿及另付活动另外消费</x:v>
      </x:c>
      <x:c r="E51" s="10" t="str">
        <x:v>原核查期；按所引来源使用，线上产品为补充参考</x:v>
      </x:c>
      <x:c r="F51" s="13" t="str">
        <x:v>打开原文</x:v>
      </x:c>
    </x:row>
    <x:row r="52" ht="26.399999618530273" hidden="0" customHeight="1">
      <x:c r="A52" s="11" t="str">
        <x:v>北京香港马会会所
公司乙类B月费</x:v>
      </x:c>
      <x:c r="B52" s="18" t="n">
        <x:v>4400</x:v>
      </x:c>
      <x:c r="C52" s="11" t="str">
        <x:v>整份会籍／月；2026-01-01起</x:v>
      </x:c>
      <x:c r="D52" s="11" t="str">
        <x:v>2位登记使用人；另收入会费及消费</x:v>
      </x:c>
      <x:c r="E52" s="11" t="str">
        <x:v>原核查期；按所引来源使用，线上产品为补充参考</x:v>
      </x:c>
      <x:c r="F52" s="12" t="str">
        <x:v>打开原文</x:v>
      </x:c>
    </x:row>
    <x:row r="53" ht="26.399999618530273" hidden="0" customHeight="1">
      <x:c r="A53" s="10" t="str">
        <x:v>北京香港马会会所
公司甲类A入会费</x:v>
      </x:c>
      <x:c r="B53" s="19" t="n">
        <x:v>1800000</x:v>
      </x:c>
      <x:c r="C53" s="10" t="str">
        <x:v>整份会籍／一次；2026-01-01起</x:v>
      </x:c>
      <x:c r="D53" s="10" t="str">
        <x:v>3位登记使用人；设施依规则使用；月费6600元；餐饮住宿及另付活动另外消费</x:v>
      </x:c>
      <x:c r="E53" s="10" t="str">
        <x:v>原核查期；按所引来源使用，线上产品为补充参考</x:v>
      </x:c>
      <x:c r="F53" s="13" t="str">
        <x:v>打开原文</x:v>
      </x:c>
    </x:row>
    <x:row r="54" ht="26.399999618530273" hidden="0" customHeight="1">
      <x:c r="A54" s="11" t="str">
        <x:v>北京香港马会会所
公司甲类A月费</x:v>
      </x:c>
      <x:c r="B54" s="18" t="n">
        <x:v>6600</x:v>
      </x:c>
      <x:c r="C54" s="11" t="str">
        <x:v>整份会籍／月；2026-01-01起</x:v>
      </x:c>
      <x:c r="D54" s="11" t="str">
        <x:v>3位登记使用人；另收入会费及消费</x:v>
      </x:c>
      <x:c r="E54" s="11" t="str">
        <x:v>原核查期；按所引来源使用，线上产品为补充参考</x:v>
      </x:c>
      <x:c r="F54" s="12" t="str">
        <x:v>打开原文</x:v>
      </x:c>
    </x:row>
    <x:row r="55" ht="26.399999618530273" hidden="0" customHeight="1">
      <x:c r="A55" s="10" t="str">
        <x:v>北京香港马会会所
子女附属卡</x:v>
      </x:c>
      <x:c r="B55" s="19" t="n">
        <x:v>120</x:v>
      </x:c>
      <x:c r="C55" s="10" t="str">
        <x:v>人／年；现行公开表单</x:v>
      </x:c>
      <x:c r="D55" s="10" t="str">
        <x:v>8至21岁，依年龄适用使用与签账规则；主会籍另计</x:v>
      </x:c>
      <x:c r="E55" s="10" t="str">
        <x:v>原核查期；按所引来源使用，线上产品为补充参考</x:v>
      </x:c>
      <x:c r="F55" s="13" t="str">
        <x:v>打开原文</x:v>
      </x:c>
    </x:row>
    <x:row r="56" ht="26.399999618530273" hidden="0" customHeight="1">
      <x:c r="A56" s="11" t="str">
        <x:v>长江商学院
2026级EMBA学费</x:v>
      </x:c>
      <x:c r="B56" s="18" t="n">
        <x:v>998000</x:v>
      </x:c>
      <x:c r="C56" s="11" t="str">
        <x:v>人／两年完整项目；2026级</x:v>
      </x:c>
      <x:c r="D56" s="11" t="str">
        <x:v>课程、教材讲义、课程茶点、图书馆及网络设施；申请费及具体项目的旅行支出另列</x:v>
      </x:c>
      <x:c r="E56" s="11" t="str">
        <x:v>原核查期；按所引来源使用，线上产品为补充参考</x:v>
      </x:c>
      <x:c r="F56" s="12" t="str">
        <x:v>打开原文</x:v>
      </x:c>
    </x:row>
    <x:row r="57" ht="26.399999618530273" hidden="0" customHeight="1">
      <x:c r="A57" s="10" t="str">
        <x:v>长江商学院
申请费</x:v>
      </x:c>
      <x:c r="B57" s="19" t="n">
        <x:v>2000</x:v>
      </x:c>
      <x:c r="C57" s="10" t="str">
        <x:v>人／次；2026级</x:v>
      </x:c>
      <x:c r="D57" s="10" t="str">
        <x:v>申请及笔面试流程；学费另计</x:v>
      </x:c>
      <x:c r="E57" s="10" t="str">
        <x:v>原核查期；按所引来源使用，线上产品为补充参考</x:v>
      </x:c>
      <x:c r="F57" s="13" t="str">
        <x:v>打开原文</x:v>
      </x:c>
    </x:row>
    <x:row r="58" ht="26.399999618530273" hidden="0" customHeight="1">
      <x:c r="A58" s="11" t="str">
        <x:v>木兰汇
2026安吉年会普通</x:v>
      </x:c>
      <x:c r="B58" s="18" t="n">
        <x:v>8800</x:v>
      </x:c>
      <x:c r="C58" s="11" t="str">
        <x:v>人／单场年会；2026年4月</x:v>
      </x:c>
      <x:c r="D58" s="11" t="str">
        <x:v>年会票；会议简餐，无姓名桌卡；年度会籍另列</x:v>
      </x:c>
      <x:c r="E58" s="11" t="str">
        <x:v>原核查期；按所引来源使用，线上产品为补充参考</x:v>
      </x:c>
      <x:c r="F58" s="12" t="str">
        <x:v>打开原文</x:v>
      </x:c>
    </x:row>
    <x:row r="59" ht="26.399999618530273" hidden="0" customHeight="1">
      <x:c r="A59" s="10" t="str">
        <x:v>木兰汇
2026安吉年会普通早鸟</x:v>
      </x:c>
      <x:c r="B59" s="19" t="n">
        <x:v>5800</x:v>
      </x:c>
      <x:c r="C59" s="10" t="str">
        <x:v>人／单场年会；2026年4月</x:v>
      </x:c>
      <x:c r="D59" s="10" t="str">
        <x:v>年会票；3月31日前；普通票权益；年度会籍另列</x:v>
      </x:c>
      <x:c r="E59" s="10" t="str">
        <x:v>原核查期；按所引来源使用，线上产品为补充参考</x:v>
      </x:c>
      <x:c r="F59" s="13" t="str">
        <x:v>打开原文</x:v>
      </x:c>
    </x:row>
    <x:row r="60" ht="26.399999618530273" hidden="0" customHeight="1">
      <x:c r="A60" s="11" t="str">
        <x:v>木兰汇
2026安吉年会VIP</x:v>
      </x:c>
      <x:c r="B60" s="18" t="n">
        <x:v>17800</x:v>
      </x:c>
      <x:c r="C60" s="11" t="str">
        <x:v>人／单场年会；2026年4月</x:v>
      </x:c>
      <x:c r="D60" s="11" t="str">
        <x:v>年会票；3次自助餐、前排课桌姓名卡、赠普通票1张、感言视频及合影；年度会籍另列</x:v>
      </x:c>
      <x:c r="E60" s="11" t="str">
        <x:v>原核查期；按所引来源使用，线上产品为补充参考</x:v>
      </x:c>
      <x:c r="F60" s="12" t="str">
        <x:v>打开原文</x:v>
      </x:c>
    </x:row>
    <x:row r="61" ht="26.399999618530273" hidden="0" customHeight="1">
      <x:c r="A61" s="10" t="str">
        <x:v>木兰汇
2026安吉年会VIP早鸟</x:v>
      </x:c>
      <x:c r="B61" s="19" t="n">
        <x:v>14800</x:v>
      </x:c>
      <x:c r="C61" s="10" t="str">
        <x:v>人／单场年会；2026年4月</x:v>
      </x:c>
      <x:c r="D61" s="10" t="str">
        <x:v>年会票；3月31日前；VIP权益；年度会籍另列</x:v>
      </x:c>
      <x:c r="E61" s="10" t="str">
        <x:v>原核查期；按所引来源使用，线上产品为补充参考</x:v>
      </x:c>
      <x:c r="F61" s="13" t="str">
        <x:v>打开原文</x:v>
      </x:c>
    </x:row>
    <x:row r="62" ht="26.399999618530273" hidden="0" customHeight="1">
      <x:c r="A62" s="11" t="str">
        <x:v>木兰汇
2026安吉年会SVIP</x:v>
      </x:c>
      <x:c r="B62" s="18" t="n">
        <x:v>37800</x:v>
      </x:c>
      <x:c r="C62" s="11" t="str">
        <x:v>人／单场年会；2026年4月</x:v>
      </x:c>
      <x:c r="D62" s="11" t="str">
        <x:v>年会票；嘉宾桌餐1次、自助餐2次、前排沙发、赠普通票2张、正装照、感言视频及合影；年度会籍另列</x:v>
      </x:c>
      <x:c r="E62" s="11" t="str">
        <x:v>原核查期；按所引来源使用，线上产品为补充参考</x:v>
      </x:c>
      <x:c r="F62" s="12" t="str">
        <x:v>打开原文</x:v>
      </x:c>
    </x:row>
  </x:sheetData>
  <x:hyperlinks>
    <x:hyperlink xmlns:r="http://schemas.openxmlformats.org/officeDocument/2006/relationships" ref="F6" r:id="rIdResearch1"/>
    <x:hyperlink xmlns:r="http://schemas.openxmlformats.org/officeDocument/2006/relationships" ref="F7" r:id="rIdResearch2"/>
    <x:hyperlink xmlns:r="http://schemas.openxmlformats.org/officeDocument/2006/relationships" ref="F8" r:id="rIdResearch3"/>
    <x:hyperlink xmlns:r="http://schemas.openxmlformats.org/officeDocument/2006/relationships" ref="F9" r:id="rIdResearch4"/>
    <x:hyperlink xmlns:r="http://schemas.openxmlformats.org/officeDocument/2006/relationships" ref="F10" r:id="rIdResearch5"/>
    <x:hyperlink xmlns:r="http://schemas.openxmlformats.org/officeDocument/2006/relationships" ref="F11" r:id="rIdResearch6"/>
    <x:hyperlink xmlns:r="http://schemas.openxmlformats.org/officeDocument/2006/relationships" ref="F12" r:id="rIdResearch7"/>
    <x:hyperlink xmlns:r="http://schemas.openxmlformats.org/officeDocument/2006/relationships" ref="F13" r:id="rIdResearch8"/>
    <x:hyperlink xmlns:r="http://schemas.openxmlformats.org/officeDocument/2006/relationships" ref="F14" r:id="rIdResearch9"/>
    <x:hyperlink xmlns:r="http://schemas.openxmlformats.org/officeDocument/2006/relationships" ref="F15" r:id="rIdResearch10"/>
    <x:hyperlink xmlns:r="http://schemas.openxmlformats.org/officeDocument/2006/relationships" ref="F16" r:id="rIdResearch11"/>
    <x:hyperlink xmlns:r="http://schemas.openxmlformats.org/officeDocument/2006/relationships" ref="F17" r:id="rIdResearch12"/>
    <x:hyperlink xmlns:r="http://schemas.openxmlformats.org/officeDocument/2006/relationships" ref="F18" r:id="rIdResearch13"/>
    <x:hyperlink xmlns:r="http://schemas.openxmlformats.org/officeDocument/2006/relationships" ref="F19" r:id="rIdResearch14"/>
    <x:hyperlink xmlns:r="http://schemas.openxmlformats.org/officeDocument/2006/relationships" ref="F20" r:id="rIdResearch15"/>
    <x:hyperlink xmlns:r="http://schemas.openxmlformats.org/officeDocument/2006/relationships" ref="F21" r:id="rIdResearch16"/>
    <x:hyperlink xmlns:r="http://schemas.openxmlformats.org/officeDocument/2006/relationships" ref="F22" r:id="rIdResearch17"/>
    <x:hyperlink xmlns:r="http://schemas.openxmlformats.org/officeDocument/2006/relationships" ref="F23" r:id="rIdResearch18"/>
    <x:hyperlink xmlns:r="http://schemas.openxmlformats.org/officeDocument/2006/relationships" ref="F24" r:id="rIdResearch19"/>
    <x:hyperlink xmlns:r="http://schemas.openxmlformats.org/officeDocument/2006/relationships" ref="F25" r:id="rIdResearch20"/>
    <x:hyperlink xmlns:r="http://schemas.openxmlformats.org/officeDocument/2006/relationships" ref="F26" r:id="rIdResearch21"/>
    <x:hyperlink xmlns:r="http://schemas.openxmlformats.org/officeDocument/2006/relationships" ref="F27" r:id="rIdResearch22"/>
    <x:hyperlink xmlns:r="http://schemas.openxmlformats.org/officeDocument/2006/relationships" ref="F28" r:id="rIdResearch23"/>
    <x:hyperlink xmlns:r="http://schemas.openxmlformats.org/officeDocument/2006/relationships" ref="F29" r:id="rIdResearch24"/>
    <x:hyperlink xmlns:r="http://schemas.openxmlformats.org/officeDocument/2006/relationships" ref="F30" r:id="rIdResearch25"/>
    <x:hyperlink xmlns:r="http://schemas.openxmlformats.org/officeDocument/2006/relationships" ref="F31" r:id="rIdResearch26"/>
    <x:hyperlink xmlns:r="http://schemas.openxmlformats.org/officeDocument/2006/relationships" ref="F32" r:id="rIdResearch27"/>
    <x:hyperlink xmlns:r="http://schemas.openxmlformats.org/officeDocument/2006/relationships" ref="F33" r:id="rIdResearch28"/>
    <x:hyperlink xmlns:r="http://schemas.openxmlformats.org/officeDocument/2006/relationships" ref="F34" r:id="rIdResearch29"/>
    <x:hyperlink xmlns:r="http://schemas.openxmlformats.org/officeDocument/2006/relationships" ref="F35" r:id="rIdResearch30"/>
    <x:hyperlink xmlns:r="http://schemas.openxmlformats.org/officeDocument/2006/relationships" ref="F36" r:id="rIdResearch31"/>
    <x:hyperlink xmlns:r="http://schemas.openxmlformats.org/officeDocument/2006/relationships" ref="F37" r:id="rIdResearch32"/>
    <x:hyperlink xmlns:r="http://schemas.openxmlformats.org/officeDocument/2006/relationships" ref="F38" r:id="rIdResearch33"/>
    <x:hyperlink xmlns:r="http://schemas.openxmlformats.org/officeDocument/2006/relationships" ref="F39" r:id="rIdResearch34"/>
    <x:hyperlink xmlns:r="http://schemas.openxmlformats.org/officeDocument/2006/relationships" ref="F40" r:id="rIdResearch35"/>
    <x:hyperlink xmlns:r="http://schemas.openxmlformats.org/officeDocument/2006/relationships" ref="F41" r:id="rIdResearch36"/>
    <x:hyperlink xmlns:r="http://schemas.openxmlformats.org/officeDocument/2006/relationships" ref="F42" r:id="rIdResearch37"/>
    <x:hyperlink xmlns:r="http://schemas.openxmlformats.org/officeDocument/2006/relationships" ref="F43" r:id="rIdResearch38"/>
    <x:hyperlink xmlns:r="http://schemas.openxmlformats.org/officeDocument/2006/relationships" ref="F44" r:id="rIdResearch39"/>
    <x:hyperlink xmlns:r="http://schemas.openxmlformats.org/officeDocument/2006/relationships" ref="F45" r:id="rIdResearch40"/>
    <x:hyperlink xmlns:r="http://schemas.openxmlformats.org/officeDocument/2006/relationships" ref="F46" r:id="rIdResearch41"/>
    <x:hyperlink xmlns:r="http://schemas.openxmlformats.org/officeDocument/2006/relationships" ref="F47" r:id="rIdResearch42"/>
    <x:hyperlink xmlns:r="http://schemas.openxmlformats.org/officeDocument/2006/relationships" ref="F48" r:id="rIdResearch43"/>
    <x:hyperlink xmlns:r="http://schemas.openxmlformats.org/officeDocument/2006/relationships" ref="F49" r:id="rIdResearch44"/>
    <x:hyperlink xmlns:r="http://schemas.openxmlformats.org/officeDocument/2006/relationships" ref="F50" r:id="rIdResearch45"/>
    <x:hyperlink xmlns:r="http://schemas.openxmlformats.org/officeDocument/2006/relationships" ref="F51" r:id="rIdResearch46"/>
    <x:hyperlink xmlns:r="http://schemas.openxmlformats.org/officeDocument/2006/relationships" ref="F52" r:id="rIdResearch47"/>
    <x:hyperlink xmlns:r="http://schemas.openxmlformats.org/officeDocument/2006/relationships" ref="F53" r:id="rIdResearch48"/>
    <x:hyperlink xmlns:r="http://schemas.openxmlformats.org/officeDocument/2006/relationships" ref="F54" r:id="rIdResearch49"/>
    <x:hyperlink xmlns:r="http://schemas.openxmlformats.org/officeDocument/2006/relationships" ref="F55" r:id="rIdResearch50"/>
    <x:hyperlink xmlns:r="http://schemas.openxmlformats.org/officeDocument/2006/relationships" ref="F56" r:id="rIdResearch51"/>
    <x:hyperlink xmlns:r="http://schemas.openxmlformats.org/officeDocument/2006/relationships" ref="F57" r:id="rIdResearch52"/>
    <x:hyperlink xmlns:r="http://schemas.openxmlformats.org/officeDocument/2006/relationships" ref="F58" r:id="rIdResearch53"/>
    <x:hyperlink xmlns:r="http://schemas.openxmlformats.org/officeDocument/2006/relationships" ref="F59" r:id="rIdResearch54"/>
    <x:hyperlink xmlns:r="http://schemas.openxmlformats.org/officeDocument/2006/relationships" ref="F60" r:id="rIdResearch55"/>
    <x:hyperlink xmlns:r="http://schemas.openxmlformats.org/officeDocument/2006/relationships" ref="F61" r:id="rIdResearch56"/>
    <x:hyperlink xmlns:r="http://schemas.openxmlformats.org/officeDocument/2006/relationships" ref="F62" r:id="rIdResearch57"/>
  </x:hyperlinks>
  <x:pageMargins left="0.7" right="0.7" top="0.75" bottom="0.75" header="0.3" footer="0.3"/>
  <x:tableParts count="1">
    <x:tablePart xmlns:r="http://schemas.openxmlformats.org/officeDocument/2006/relationships" r:id="R1656c33f47964ea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38" hidden="0" customWidth="1"/>
    <x:col min="3" max="3" width="35" hidden="0" customWidth="1"/>
    <x:col min="4" max="4" width="44" hidden="0" customWidth="1"/>
    <x:col min="5" max="5" width="40" hidden="0" customWidth="1"/>
    <x:col min="6" max="6" width="14" hidden="0" customWidth="1"/>
  </x:cols>
  <x:sheetData>
    <x:row r="1">
      <x:c r="A1" s="1"/>
      <x:c r="B1" s="1"/>
      <x:c r="C1" s="1"/>
      <x:c r="D1" s="1"/>
      <x:c r="E1" s="1"/>
      <x:c r="F1" s="1"/>
    </x:row>
    <x:row r="2" ht="32" customHeight="1">
      <x:c r="A2" s="2" t="str">
        <x:v>客户画像</x:v>
      </x:c>
      <x:c r="B2" s="1"/>
      <x:c r="C2" s="1"/>
      <x:c r="D2" s="1"/>
      <x:c r="E2" s="1"/>
      <x:c r="F2" s="1"/>
    </x:row>
    <x:row r="3" ht="26" customHeight="1">
      <x:c r="A3" s="3" t="str">
        <x:v>分别标注机构定位、活动准入与公开样例；不把拟匹配对象的条件当成购买者画像。</x:v>
      </x:c>
      <x:c r="B3" s="1"/>
      <x:c r="C3" s="1"/>
      <x:c r="D3" s="1"/>
      <x:c r="E3" s="1"/>
      <x:c r="F3" s="1"/>
    </x:row>
    <x:row r="4">
      <x:c r="A4" s="1"/>
      <x:c r="B4" s="1"/>
      <x:c r="C4" s="1"/>
      <x:c r="D4" s="1"/>
      <x:c r="E4" s="1"/>
      <x:c r="F4" s="1"/>
    </x:row>
    <x:row r="5" ht="32" customHeight="1">
      <x:c r="A5" s="8" t="str">
        <x:v>机构及产品或样例</x:v>
      </x:c>
      <x:c r="B5" s="8" t="str">
        <x:v>年龄 职业 学历</x:v>
      </x:c>
      <x:c r="C5" s="8" t="str">
        <x:v>收入与资产</x:v>
      </x:c>
      <x:c r="D5" s="8" t="str">
        <x:v>性格与兴趣</x:v>
      </x:c>
      <x:c r="E5" s="8" t="str">
        <x:v>描述对象及参加需求</x:v>
      </x:c>
      <x:c r="F5" s="8" t="str">
        <x:v>原文</x:v>
      </x:c>
    </x:row>
    <x:row r="6" ht="43.20000076293945" hidden="0" customHeight="1">
      <x:c r="A6" s="11" t="str">
        <x:v>钻石婚恋
总体官网定义</x:v>
      </x:c>
      <x:c r="B6" s="11" t="str">
        <x:v>年龄未列
企业家 金融家 体育及文艺演艺人士等
</x:v>
      </x:c>
      <x:c r="C6" s="11" t="str">
        <x:v>个人或家庭财产1000万元以上 或个人条件极优秀</x:v>
      </x:c>
      <x:c r="D6" s="11" t="str">
        <x:v>性格未列
兴趣未列</x:v>
      </x:c>
      <x:c r="E6" s="11" t="str">
        <x:v>机构定位
</x:v>
      </x:c>
      <x:c r="F6" s="12" t="str">
        <x:v>打开原文</x:v>
      </x:c>
    </x:row>
    <x:row r="7" ht="43.20000076293945" hidden="0" customHeight="1">
      <x:c r="A7" s="10" t="str">
        <x:v>钻石精英会
2026年9月500强名企海归专场 男嘉宾</x:v>
      </x:c>
      <x:c r="B7" s="10" t="str">
        <x:v>年龄未列
500强名企 海归 企业经营者 人才等 任选条件
</x:v>
      </x:c>
      <x:c r="C7" s="10" t="str">
        <x:v>资产5000万元或年入100万元等仅为可选资格 企业纳税百万 员工50人等也可</x:v>
      </x:c>
      <x:c r="D7" s="10" t="str">
        <x:v>海报要求积极健康 有责任感和家庭意愿
兴趣未列</x:v>
      </x:c>
      <x:c r="E7" s="10" t="str">
        <x:v>活动招募条件
</x:v>
      </x:c>
      <x:c r="F7" s="13" t="str">
        <x:v>打开原文</x:v>
      </x:c>
    </x:row>
    <x:row r="8" ht="39.599998474121094" hidden="0" customHeight="1">
      <x:c r="A8" s="11" t="str">
        <x:v>钻石精英会
2026年9月500强名企海归专场 女嘉宾</x:v>
      </x:c>
      <x:c r="B8" s="11" t="str">
        <x:v>00后 海报出生年份口径
职业未列
本科以上 名校优先</x:v>
      </x:c>
      <x:c r="C8" s="11" t="str">
        <x:v>收入或资产未列</x:v>
      </x:c>
      <x:c r="D8" s="11" t="str">
        <x:v>海报要求自律自信 家庭责任感 原生家庭幸福有爱
兴趣未列</x:v>
      </x:c>
      <x:c r="E8" s="11" t="str">
        <x:v>活动招募条件
168厘米以上</x:v>
      </x:c>
      <x:c r="F8" s="12" t="str">
        <x:v>打开原文</x:v>
      </x:c>
    </x:row>
    <x:row r="9" ht="43.20000076293945" hidden="0" customHeight="1">
      <x:c r="A9" s="10" t="str">
        <x:v>钻石私董会
第74场亿元单身局</x:v>
      </x:c>
      <x:c r="B9" s="10" t="str">
        <x:v>年龄未列
科技创业经营者 上市公司董事长股东及家族二代等
</x:v>
      </x:c>
      <x:c r="C9" s="10" t="str">
        <x:v>资产亿元以上或个人综合条件极优秀 招募可选项包括年入500万 企业估值亿元等</x:v>
      </x:c>
      <x:c r="D9" s="10" t="str">
        <x:v>男士责任感家庭担当 女士情绪稳定独立重家庭 均为招募描述
兴趣未列</x:v>
      </x:c>
      <x:c r="E9" s="10" t="str">
        <x:v>2026-10-24未来活动招募
</x:v>
      </x:c>
      <x:c r="F9" s="13" t="str">
        <x:v>打开原文</x:v>
      </x:c>
    </x:row>
    <x:row r="10" ht="43.20000076293945" hidden="0" customHeight="1">
      <x:c r="A10" s="11" t="str">
        <x:v>钻石私董会
2026年10月山野悦享局</x:v>
      </x:c>
      <x:c r="B10" s="11" t="str">
        <x:v>1980年至2000年出生
事业稳定
</x:v>
      </x:c>
      <x:c r="C10" s="11" t="str">
        <x:v>男士提交存款房产股票等证明 金额未列 女士面试</x:v>
      </x:c>
      <x:c r="D10" s="11" t="str">
        <x:v>要求情感专一 阅历丰富 男阳光有活力 女思想独立
男士运动健身 属报名偏好</x:v>
      </x:c>
      <x:c r="E10" s="11" t="str">
        <x:v>未来活动招募 非已成行旅行
男180厘米以上 女165厘米以上</x:v>
      </x:c>
      <x:c r="F10" s="12" t="str">
        <x:v>打开原文</x:v>
      </x:c>
    </x:row>
    <x:row r="11" ht="43.20000076293945" hidden="0" customHeight="1">
      <x:c r="A11" s="10" t="str">
        <x:v>HIMMR
同城交友活动</x:v>
      </x:c>
      <x:c r="B11" s="10" t="str">
        <x:v>年龄未列
金融 互联网 高校等
985 211 海外QS100等 官网定位</x:v>
      </x:c>
      <x:c r="C11" s="10" t="str">
        <x:v>收入或资产未列</x:v>
      </x:c>
      <x:c r="D11" s="10" t="str">
        <x:v>性格未列
桌游 摇摆舞 飞盘 依据活动类别 未披露客户实际爱好比例</x:v>
      </x:c>
      <x:c r="E11" s="10" t="str">
        <x:v>机构定位及产品类型
</x:v>
      </x:c>
      <x:c r="F11" s="13" t="str">
        <x:v>打开原文</x:v>
      </x:c>
    </x:row>
    <x:row r="12" ht="43.20000076293945" hidden="0" customHeight="1">
      <x:c r="A12" s="11" t="str">
        <x:v>HIMMR
王牌1V1</x:v>
      </x:c>
      <x:c r="B12" s="11" t="str">
        <x:v>年龄未列
职业未列
</x:v>
      </x:c>
      <x:c r="C12" s="11" t="str">
        <x:v>收入或资产未列</x:v>
      </x:c>
      <x:c r="D12" s="11" t="str">
        <x:v>性格未列
兴趣未列</x:v>
      </x:c>
      <x:c r="E12" s="11" t="str">
        <x:v>官网适用对象
注重隐私 希望高效 但时间少 异性圈子窄 缺乏恋爱经验
</x:v>
      </x:c>
      <x:c r="F12" s="12" t="str">
        <x:v>打开原文</x:v>
      </x:c>
    </x:row>
    <x:row r="13" ht="56.400001525878906" hidden="0" customHeight="1">
      <x:c r="A13" s="10" t="str">
        <x:v>金凤凰深港婚恋
9月20日二婚专场</x:v>
      </x:c>
      <x:c r="B13" s="10" t="str">
        <x:v>年龄未列
职业未列
</x:v>
      </x:c>
      <x:c r="C13" s="10" t="str">
        <x:v>收入或资产未列</x:v>
      </x:c>
      <x:c r="D13" s="10" t="str">
        <x:v>性格未列
兴趣未列</x:v>
      </x:c>
      <x:c r="E13" s="10" t="str">
        <x:v>活动招募
离异后谨慎重建关系 希望扩大深圳香港交友范围 海报诉求
</x:v>
      </x:c>
      <x:c r="F13" s="13" t="str">
        <x:v>打开原文</x:v>
      </x:c>
    </x:row>
    <x:row r="14" ht="56.400001525878906" hidden="0" customHeight="1">
      <x:c r="A14" s="11" t="str">
        <x:v>HIMMR
2026-10-21回国假期1V1匹配</x:v>
      </x:c>
      <x:c r="B14" s="11" t="str">
        <x:v>先收集年龄 页面未给范围
在美国工作的华人男性 科技大厂或AI公司等
</x:v>
      </x:c>
      <x:c r="C14" s="11" t="str">
        <x:v>仅称收入稳定 未列金额或资产线</x:v>
      </x:c>
      <x:c r="D14" s="11" t="str">
        <x:v>性格未列
兴趣未列</x:v>
      </x:c>
      <x:c r="E14" s="11" t="str">
        <x:v>机构近期产品招募定位
圈子同质化 借回国假期集中见面 并在推荐前确认双方未来是否愿意海外生活
</x:v>
      </x:c>
      <x:c r="F14" s="12" t="str">
        <x:v>打开原文</x:v>
      </x:c>
    </x:row>
    <x:row r="15" ht="43.20000076293945" hidden="0" customHeight="1">
      <x:c r="A15" s="10" t="str">
        <x:v>HIMMR
2026-08-24公开男嘉宾样例</x:v>
      </x:c>
      <x:c r="B15" s="10" t="str">
        <x:v>年龄未列
互联网公司AI算法岗位
清华电子工程本科 UCLA硕士 UIUC博士</x:v>
      </x:c>
      <x:c r="C15" s="10" t="str">
        <x:v>收入或资产未列</x:v>
      </x:c>
      <x:c r="D15" s="10" t="str">
        <x:v>机构介绍为生活规律踏实
兴趣未列</x:v>
      </x:c>
      <x:c r="E15" s="10" t="str">
        <x:v>公开嘉宾样例 非整体画像及非已核实付费者
</x:v>
      </x:c>
      <x:c r="F15" s="13" t="str">
        <x:v>打开原文</x:v>
      </x:c>
    </x:row>
    <x:row r="16" ht="43.20000076293945" hidden="0" customHeight="1">
      <x:c r="A16" s="11" t="str">
        <x:v>金凤凰深港婚恋
2026-08-22公开征婚样例</x:v>
      </x:c>
      <x:c r="B16" s="11" t="str">
        <x:v>1995年生 约30至31岁
深圳事业单位
硕士 本科211</x:v>
      </x:c>
      <x:c r="C16" s="11" t="str">
        <x:v>收入或资产未列</x:v>
      </x:c>
      <x:c r="D16" s="11" t="str">
        <x:v>机构介绍为温婉善良 重视家庭
公园 爬山 短途旅行 羽毛球 瑜伽 舞蹈 游泳 象棋</x:v>
      </x:c>
      <x:c r="E16" s="11" t="str">
        <x:v>机构公开介绍的单一样例 非整体客户分布
</x:v>
      </x:c>
      <x:c r="F16" s="12" t="str">
        <x:v>打开原文</x:v>
      </x:c>
    </x:row>
    <x:row r="17" ht="43.20000076293945" hidden="0" customHeight="1">
      <x:c r="A17" s="10" t="str">
        <x:v>金凤凰深港婚恋
2026-08-20公开征婚样例</x:v>
      </x:c>
      <x:c r="B17" s="10" t="str">
        <x:v>1996年生 约29至30岁
职业未列
</x:v>
      </x:c>
      <x:c r="C17" s="10" t="str">
        <x:v>帖称香港住房为父母名下 个人收入未列</x:v>
      </x:c>
      <x:c r="D17" s="10" t="str">
        <x:v>机构介绍为性格温和
音乐 唱歌 旅游 美食 摄影</x:v>
      </x:c>
      <x:c r="E17" s="10" t="str">
        <x:v>机构公开介绍的单一样例 非已核验付费者
</x:v>
      </x:c>
      <x:c r="F17" s="13" t="str">
        <x:v>打开原文</x:v>
      </x:c>
    </x:row>
    <x:row r="18" ht="26.399999618530273" hidden="0" customHeight="1">
      <x:c r="A18" s="11" t="str">
        <x:v>大超说媒
定位咨询</x:v>
      </x:c>
      <x:c r="B18" s="11" t="str">
        <x:v>年龄、岗位未列</x:v>
      </x:c>
      <x:c r="C18" s="11" t="str">
        <x:v>个人收入与家庭资产分布未公开</x:v>
      </x:c>
      <x:c r="D18" s="11" t="str">
        <x:v>内容谈择偶与关系；没有客户性格、兴趣统计</x:v>
      </x:c>
      <x:c r="E18" s="11" t="str">
        <x:v>999本人／199红娘定位，对应不同咨询提供者；未核实买家构成</x:v>
      </x:c>
      <x:c r="F18" s="12" t="str">
        <x:v>打开原文</x:v>
      </x:c>
    </x:row>
    <x:row r="19" ht="26.399999618530273" hidden="0" customHeight="1">
      <x:c r="A19" s="10" t="str">
        <x:v>大超说媒
清北本科局</x:v>
      </x:c>
      <x:c r="B19" s="10" t="str">
        <x:v>近期招募点名女生清北本科纯文化生；其他年龄职业条件未补齐</x:v>
      </x:c>
      <x:c r="C19" s="10" t="str">
        <x:v>本期资产或收入条件未核实</x:v>
      </x:c>
      <x:c r="D19" s="10" t="str">
        <x:v>未披露</x:v>
      </x:c>
      <x:c r="E19" s="10" t="str">
        <x:v>学历专场；与高净值局分开，不能套用往年5000万元条件</x:v>
      </x:c>
      <x:c r="F19" s="13" t="str">
        <x:v>打开原文</x:v>
      </x:c>
    </x:row>
    <x:row r="20" ht="26.399999618530273" hidden="0" customHeight="1">
      <x:c r="A20" s="11" t="str">
        <x:v>我主良缘
顾问及活动</x:v>
      </x:c>
      <x:c r="B20" s="11" t="str">
        <x:v>品牌覆盖白领、公务员、企事业单位、企业主等；当前付费年龄、岗位占比未公开</x:v>
      </x:c>
      <x:c r="C20" s="11" t="str">
        <x:v>A8准入与客户收入分布未公开</x:v>
      </x:c>
      <x:c r="D20" s="11" t="str">
        <x:v>当前客户性格与兴趣分布未公开</x:v>
      </x:c>
      <x:c r="E20" s="11" t="str">
        <x:v>品牌服务范围；尚不能拆出可靠的分产品实际付费画像</x:v>
      </x:c>
      <x:c r="F20" s="12" t="str">
        <x:v>打开原文</x:v>
      </x:c>
    </x:row>
  </x:sheetData>
  <x:hyperlinks>
    <x:hyperlink xmlns:r="http://schemas.openxmlformats.org/officeDocument/2006/relationships" ref="F6" r:id="rIdResearch1"/>
    <x:hyperlink xmlns:r="http://schemas.openxmlformats.org/officeDocument/2006/relationships" ref="F7" r:id="rIdResearch2"/>
    <x:hyperlink xmlns:r="http://schemas.openxmlformats.org/officeDocument/2006/relationships" ref="F8" r:id="rIdResearch3"/>
    <x:hyperlink xmlns:r="http://schemas.openxmlformats.org/officeDocument/2006/relationships" ref="F9" r:id="rIdResearch4"/>
    <x:hyperlink xmlns:r="http://schemas.openxmlformats.org/officeDocument/2006/relationships" ref="F10" r:id="rIdResearch5"/>
    <x:hyperlink xmlns:r="http://schemas.openxmlformats.org/officeDocument/2006/relationships" ref="F11" r:id="rIdResearch6"/>
    <x:hyperlink xmlns:r="http://schemas.openxmlformats.org/officeDocument/2006/relationships" ref="F12" r:id="rIdResearch7"/>
    <x:hyperlink xmlns:r="http://schemas.openxmlformats.org/officeDocument/2006/relationships" ref="F13" r:id="rIdResearch8"/>
    <x:hyperlink xmlns:r="http://schemas.openxmlformats.org/officeDocument/2006/relationships" ref="F14" r:id="rIdResearch9"/>
    <x:hyperlink xmlns:r="http://schemas.openxmlformats.org/officeDocument/2006/relationships" ref="F15" r:id="rIdResearch10"/>
    <x:hyperlink xmlns:r="http://schemas.openxmlformats.org/officeDocument/2006/relationships" ref="F16" r:id="rIdResearch11"/>
    <x:hyperlink xmlns:r="http://schemas.openxmlformats.org/officeDocument/2006/relationships" ref="F17" r:id="rIdResearch12"/>
    <x:hyperlink xmlns:r="http://schemas.openxmlformats.org/officeDocument/2006/relationships" ref="F18" r:id="rIdResearch13"/>
    <x:hyperlink xmlns:r="http://schemas.openxmlformats.org/officeDocument/2006/relationships" ref="F19" r:id="rIdResearch14"/>
    <x:hyperlink xmlns:r="http://schemas.openxmlformats.org/officeDocument/2006/relationships" ref="F20" r:id="rIdResearch15"/>
  </x:hyperlinks>
  <x:pageMargins left="0.7" right="0.7" top="0.75" bottom="0.75" header="0.3" footer="0.3"/>
  <x:tableParts count="1">
    <x:tablePart xmlns:r="http://schemas.openxmlformats.org/officeDocument/2006/relationships" r:id="R867d6a2d4b674ef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2" hidden="0" customWidth="1"/>
    <x:col min="2" max="2" width="17" hidden="0" customWidth="1"/>
    <x:col min="3" max="3" width="20" hidden="0" customWidth="1"/>
    <x:col min="4" max="4" width="30" hidden="0" customWidth="1"/>
    <x:col min="5" max="5" width="17" hidden="0" customWidth="1"/>
    <x:col min="6" max="6" width="49" hidden="0" customWidth="1"/>
    <x:col min="7" max="7" width="53" hidden="0" customWidth="1"/>
    <x:col min="8" max="8" width="1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 ht="32" customHeight="1">
      <x:c r="A2" s="2" t="str">
        <x:v>活动旅行</x:v>
      </x:c>
      <x:c r="B2" s="1"/>
      <x:c r="C2" s="1"/>
      <x:c r="D2" s="1"/>
      <x:c r="E2" s="1"/>
      <x:c r="F2" s="1"/>
      <x:c r="G2" s="1"/>
      <x:c r="H2" s="1"/>
    </x:row>
    <x:row r="3" ht="26" customHeight="1">
      <x:c r="A3" s="3" t="str">
        <x:v>日期相同不等于实际成行；预告、报名与回顾分别标注，10月24日以后的活动为未来招募。</x:v>
      </x:c>
      <x:c r="B3" s="1"/>
      <x:c r="C3" s="1"/>
      <x:c r="D3" s="1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 ht="32" customHeight="1">
      <x:c r="A5" s="8" t="str">
        <x:v>机构</x:v>
      </x:c>
      <x:c r="B5" s="8" t="str">
        <x:v>活动日期</x:v>
      </x:c>
      <x:c r="C5" s="8" t="str">
        <x:v>记录状态</x:v>
      </x:c>
      <x:c r="D5" s="8" t="str">
        <x:v>产品</x:v>
      </x:c>
      <x:c r="E5" s="8" t="str">
        <x:v>元每人</x:v>
      </x:c>
      <x:c r="F5" s="8" t="str">
        <x:v>公开流程</x:v>
      </x:c>
      <x:c r="G5" s="8" t="str">
        <x:v>包含项 人群及人数</x:v>
      </x:c>
      <x:c r="H5" s="8" t="str">
        <x:v>原文</x:v>
      </x:c>
    </x:row>
    <x:row r="6" ht="26.399999618530273" hidden="0" customHeight="1">
      <x:c r="A6" s="11" t="str">
        <x:v>钻石精英会</x:v>
      </x:c>
      <x:c r="B6" s="20" t="d">
        <x:v>2026-08-22T12:00:00.000Z</x:v>
      </x:c>
      <x:c r="C6" s="11" t="str">
        <x:v>招募资料</x:v>
      </x:c>
      <x:c r="D6" s="11" t="str">
        <x:v>QS海归名校单身社交局</x:v>
      </x:c>
      <x:c r="E6" s="11"/>
      <x:c r="F6" s="11" t="str">
        <x:v>学历审核、访谈、证件与工作资产验证；现场逐时议程未列</x:v>
      </x:c>
      <x:c r="G6" s="11" t="str">
        <x:v>学历与综合背景条件见海报；8月31日账号另有同主题帖，正文不足以核实完整交付</x:v>
      </x:c>
      <x:c r="H6" s="12" t="str">
        <x:v>打开原文</x:v>
      </x:c>
    </x:row>
    <x:row r="7" ht="26.399999618530273" hidden="0" customHeight="1">
      <x:c r="A7" s="10" t="str">
        <x:v>钻石精英会</x:v>
      </x:c>
      <x:c r="B7" s="21" t="d">
        <x:v>2026-09-19T12:00:00.000Z</x:v>
      </x:c>
      <x:c r="C7" s="10" t="str">
        <x:v>招募资料</x:v>
      </x:c>
      <x:c r="D7" s="10" t="str">
        <x:v>500强名企海归单身派对</x:v>
      </x:c>
      <x:c r="E7" s="10"/>
      <x:c r="F7" s="10" t="str">
        <x:v>五证核验、男士资产资料、女士面试及婚姻意愿访谈；现场逐时议程未列</x:v>
      </x:c>
      <x:c r="G7" s="10" t="str">
        <x:v>男性多种准入任选；女性00后、168厘米以上、本科以上</x:v>
      </x:c>
      <x:c r="H7" s="13" t="str">
        <x:v>打开原文</x:v>
      </x:c>
    </x:row>
    <x:row r="8" ht="15" hidden="0" customHeight="1">
      <x:c r="A8" s="11" t="str">
        <x:v>钻石私董会</x:v>
      </x:c>
      <x:c r="B8" s="20" t="d">
        <x:v>2026-10-24T12:00:00.000Z</x:v>
      </x:c>
      <x:c r="C8" s="11" t="str">
        <x:v>未来招募</x:v>
      </x:c>
      <x:c r="D8" s="11" t="str">
        <x:v>第74场资产亿元单身局</x:v>
      </x:c>
      <x:c r="E8" s="11"/>
      <x:c r="F8" s="11" t="str">
        <x:v>审核及访谈；活动场地定向通知</x:v>
      </x:c>
      <x:c r="G8" s="11" t="str">
        <x:v>标题场次数为品牌自述，不能据此填本期举办74场</x:v>
      </x:c>
      <x:c r="H8" s="12" t="str">
        <x:v>打开原文</x:v>
      </x:c>
    </x:row>
    <x:row r="9" ht="15" hidden="0" customHeight="1">
      <x:c r="A9" s="10" t="str">
        <x:v>钻石私董会</x:v>
      </x:c>
      <x:c r="B9" s="21" t="d">
        <x:v>2026-10-24T12:00:00.000Z</x:v>
      </x:c>
      <x:c r="C9" s="10" t="str">
        <x:v>未来招募</x:v>
      </x:c>
      <x:c r="D9" s="10" t="str">
        <x:v>山野见己悦享局</x:v>
      </x:c>
      <x:c r="E9" s="10"/>
      <x:c r="F9" s="10" t="str">
        <x:v>男士提交资产资料、女士面试；详细出行线路和天数未列</x:v>
      </x:c>
      <x:c r="G9" s="10" t="str">
        <x:v>1980至2000年生；海报有户外生活体验表达，但没有完整在售旅行方案</x:v>
      </x:c>
      <x:c r="H9" s="13" t="str">
        <x:v>打开原文</x:v>
      </x:c>
    </x:row>
    <x:row r="10" ht="26.399999618530273" hidden="0" customHeight="1">
      <x:c r="A10" s="11" t="str">
        <x:v>金凤凰深港婚恋</x:v>
      </x:c>
      <x:c r="B10" s="20" t="d">
        <x:v>2026-09-20T12:00:00.000Z</x:v>
      </x:c>
      <x:c r="C10" s="11" t="str">
        <x:v>招募及报名快照</x:v>
      </x:c>
      <x:c r="D10" s="11" t="str">
        <x:v>深港二婚离异联谊会</x:v>
      </x:c>
      <x:c r="E10" s="11" t="n">
        <x:v>99</x:v>
      </x:c>
      <x:c r="F10" s="11" t="str">
        <x:v>报名→网上或现场支付→签到→轮转交流→自愿后续联系；14至17时</x:v>
      </x:c>
      <x:c r="G10" s="11" t="str">
        <x:v>99元含酒店与茶歇；计划30男30女；网页报名37男22女；实到未公开</x:v>
      </x:c>
      <x:c r="H10" s="12" t="str">
        <x:v>打开原文</x:v>
      </x:c>
    </x:row>
    <x:row r="11" ht="15" hidden="0" customHeight="1">
      <x:c r="A11" s="10" t="str">
        <x:v>大超说媒</x:v>
      </x:c>
      <x:c r="B11" s="21" t="d">
        <x:v>2026-10-18T12:00:00.000Z</x:v>
      </x:c>
      <x:c r="C11" s="10" t="str">
        <x:v>实际活动公开视频</x:v>
      </x:c>
      <x:c r="D11" s="10" t="str">
        <x:v>高净值相亲局</x:v>
      </x:c>
      <x:c r="E11" s="10"/>
      <x:c r="F11" s="10" t="str">
        <x:v>真实聚会画面；完整人数、流程及票价未核实</x:v>
      </x:c>
      <x:c r="G11" s="10" t="str">
        <x:v>视频自动章节不能作为人工核实议程</x:v>
      </x:c>
      <x:c r="H11" s="13" t="str">
        <x:v>打开原文</x:v>
      </x:c>
    </x:row>
    <x:row r="12" ht="26.399999618530273" hidden="0" customHeight="1">
      <x:c r="A12" s="11" t="str">
        <x:v>北京爱旅等联合主办</x:v>
      </x:c>
      <x:c r="B12" s="20" t="d">
        <x:v>2026-08-01T12:00:00.000Z</x:v>
      </x:c>
      <x:c r="C12" s="11" t="str">
        <x:v>招募议程，非实到核验</x:v>
      </x:c>
      <x:c r="D12" s="11" t="str">
        <x:v>玉渡山单身一日游</x:v>
      </x:c>
      <x:c r="E12" s="11" t="n">
        <x:v>138</x:v>
      </x:c>
      <x:c r="F12" s="11" t="str">
        <x:v>08:00大巴自介→10:00组队游戏→11:30自带餐分享→12:30分组游园→14:00跨组8分钟→16:30返程→18:30结束</x:v>
      </x:c>
      <x:c r="G12" s="11" t="str">
        <x:v>含车、首道门票、领队主持，赠保险；不含餐。标题83—03、正文80—03出生冲突。大专+、稳定工作收入；计划200非实到</x:v>
      </x:c>
      <x:c r="H12" s="12" t="str">
        <x:v>打开原文</x:v>
      </x:c>
    </x:row>
    <x:row r="13" ht="26.399999618530273" hidden="0" customHeight="1">
      <x:c r="A13" s="10" t="str">
        <x:v>囍上媒捎</x:v>
      </x:c>
      <x:c r="B13" s="21" t="str">
        <x:v>2026-10-24至25</x:v>
      </x:c>
      <x:c r="C13" s="10" t="str">
        <x:v>未来招募，尚未举办</x:v>
      </x:c>
      <x:c r="D13" s="10" t="str">
        <x:v>两天一夜温泉相亲旅行</x:v>
      </x:c>
      <x:c r="E13" s="10" t="n">
        <x:v>388</x:v>
      </x:c>
      <x:c r="F13" s="10" t="str">
        <x:v>自介→互动游戏→同行→自由交流；30人为计划</x:v>
      </x:c>
      <x:c r="G13" s="10" t="str">
        <x:v>宣传含住宿早餐交通温泉；其他餐未清。25—55与70／80／90后离异口径不一致。不是已成团经营实绩</x:v>
      </x:c>
      <x:c r="H13" s="13" t="str">
        <x:v>打开原文</x:v>
      </x:c>
    </x:row>
    <x:row r="14" ht="15" hidden="0" customHeight="1">
      <x:c r="A14" s="11" t="str">
        <x:v>如爱单身俱乐部</x:v>
      </x:c>
      <x:c r="B14" s="20" t="d">
        <x:v>2026-10-18T12:00:00.000Z</x:v>
      </x:c>
      <x:c r="C14" s="11" t="str">
        <x:v>旅行招募及报名快照</x:v>
      </x:c>
      <x:c r="D14" s="11" t="str">
        <x:v>盘锦一日出游</x:v>
      </x:c>
      <x:c r="E14" s="11" t="str">
        <x:v>男115 女95</x:v>
      </x:c>
      <x:c r="F14" s="11" t="str">
        <x:v>按公开旅行活动招募；详细现场交付未核实</x:v>
      </x:c>
      <x:c r="G14" s="11" t="str">
        <x:v>网页报名18；一般本地单身客群，作为旅行组织参考</x:v>
      </x:c>
      <x:c r="H14" s="12" t="str">
        <x:v>打开原文</x:v>
      </x:c>
    </x:row>
  </x:sheetData>
  <x:hyperlinks>
    <x:hyperlink xmlns:r="http://schemas.openxmlformats.org/officeDocument/2006/relationships" ref="H6" r:id="rIdResearch1"/>
    <x:hyperlink xmlns:r="http://schemas.openxmlformats.org/officeDocument/2006/relationships" ref="H7" r:id="rIdResearch2"/>
    <x:hyperlink xmlns:r="http://schemas.openxmlformats.org/officeDocument/2006/relationships" ref="H8" r:id="rIdResearch3"/>
    <x:hyperlink xmlns:r="http://schemas.openxmlformats.org/officeDocument/2006/relationships" ref="H9" r:id="rIdResearch4"/>
    <x:hyperlink xmlns:r="http://schemas.openxmlformats.org/officeDocument/2006/relationships" ref="H10" r:id="rIdResearch5"/>
    <x:hyperlink xmlns:r="http://schemas.openxmlformats.org/officeDocument/2006/relationships" ref="H11" r:id="rIdResearch6"/>
    <x:hyperlink xmlns:r="http://schemas.openxmlformats.org/officeDocument/2006/relationships" ref="H12" r:id="rIdResearch7"/>
    <x:hyperlink xmlns:r="http://schemas.openxmlformats.org/officeDocument/2006/relationships" ref="H13" r:id="rIdResearch8"/>
    <x:hyperlink xmlns:r="http://schemas.openxmlformats.org/officeDocument/2006/relationships" ref="H14" r:id="rIdResearch9"/>
  </x:hyperlinks>
  <x:pageMargins left="0.7" right="0.7" top="0.75" bottom="0.75" header="0.3" footer="0.3"/>
  <x:tableParts count="1">
    <x:tablePart xmlns:r="http://schemas.openxmlformats.org/officeDocument/2006/relationships" r:id="Red39be2cab1c4368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9" hidden="0" customWidth="1"/>
    <x:col min="2" max="2" width="15" hidden="0" customWidth="1"/>
    <x:col min="3" max="3" width="18" hidden="0" customWidth="1"/>
    <x:col min="4" max="4" width="24" hidden="0" customWidth="1"/>
    <x:col min="5" max="5" width="14" hidden="0" customWidth="1"/>
    <x:col min="6" max="6" width="19" hidden="0" customWidth="1"/>
    <x:col min="7" max="7" width="52" hidden="0" customWidth="1"/>
    <x:col min="8" max="8" width="1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 ht="32" customHeight="1">
      <x:c r="A2" s="2" t="str">
        <x:v>账号声量</x:v>
      </x:c>
      <x:c r="B2" s="1"/>
      <x:c r="C2" s="1"/>
      <x:c r="D2" s="1"/>
      <x:c r="E2" s="1"/>
      <x:c r="F2" s="1"/>
      <x:c r="G2" s="1"/>
      <x:c r="H2" s="1"/>
    </x:row>
    <x:row r="3" ht="26" customHeight="1">
      <x:c r="A3" s="3" t="str">
        <x:v>账号快照各自列示；隐藏字段留空，累计互动不填成评论、分享或当期成交。</x:v>
      </x:c>
      <x:c r="B3" s="1"/>
      <x:c r="C3" s="1"/>
      <x:c r="D3" s="1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 ht="32" customHeight="1">
      <x:c r="A5" s="8" t="str">
        <x:v>品牌及账号</x:v>
      </x:c>
      <x:c r="B5" s="8" t="str">
        <x:v>粉丝数</x:v>
      </x:c>
      <x:c r="C5" s="8" t="str">
        <x:v>累计互动数</x:v>
      </x:c>
      <x:c r="D5" s="8" t="str">
        <x:v>累计指标口径</x:v>
      </x:c>
      <x:c r="E5" s="8" t="str">
        <x:v>作品数</x:v>
      </x:c>
      <x:c r="F5" s="8" t="str">
        <x:v>采集时间</x:v>
      </x:c>
      <x:c r="G5" s="8" t="str">
        <x:v>账号核验与使用说明</x:v>
      </x:c>
      <x:c r="H5" s="8" t="str">
        <x:v>原文</x:v>
      </x:c>
    </x:row>
    <x:row r="6" ht="26.399999618530273" hidden="0" customHeight="1">
      <x:c r="A6" s="11" t="str">
        <x:v>钻石婚恋
钻石婚恋</x:v>
      </x:c>
      <x:c r="B6" s="14" t="n">
        <x:v>11557</x:v>
      </x:c>
      <x:c r="C6" s="14" t="n">
        <x:v>71097</x:v>
      </x:c>
      <x:c r="D6" s="11" t="str">
        <x:v>获赞与收藏合计</x:v>
      </x:c>
      <x:c r="E6" s="14"/>
      <x:c r="F6" s="20" t="d">
        <x:v>2026-10-22T06:32:07.604Z</x:v>
      </x:c>
      <x:c r="G6" s="11" t="str">
        <x:v>名称与简介匹配 机构认证及主体待复核</x:v>
      </x:c>
      <x:c r="H6" s="12" t="str">
        <x:v>打开原文</x:v>
      </x:c>
    </x:row>
    <x:row r="7" ht="26.399999618530273" hidden="0" customHeight="1">
      <x:c r="A7" s="10" t="str">
        <x:v>大超说媒
大超说媒</x:v>
      </x:c>
      <x:c r="B7" s="15" t="n">
        <x:v>23323</x:v>
      </x:c>
      <x:c r="C7" s="15" t="n">
        <x:v>100416</x:v>
      </x:c>
      <x:c r="D7" s="10" t="str">
        <x:v>获赞与收藏合计</x:v>
      </x:c>
      <x:c r="E7" s="15"/>
      <x:c r="F7" s="21" t="d">
        <x:v>2026-10-22T06:34:32.001Z</x:v>
      </x:c>
      <x:c r="G7" s="10" t="str">
        <x:v>名称与简介匹配 机构认证及主体待复核</x:v>
      </x:c>
      <x:c r="H7" s="13" t="str">
        <x:v>打开原文</x:v>
      </x:c>
    </x:row>
    <x:row r="8" ht="26.399999618530273" hidden="0" customHeight="1">
      <x:c r="A8" s="11" t="str">
        <x:v>HIMMR
陌上花开HIMMR</x:v>
      </x:c>
      <x:c r="B8" s="14"/>
      <x:c r="C8" s="14" t="n">
        <x:v>9038</x:v>
      </x:c>
      <x:c r="D8" s="11" t="str">
        <x:v>获赞与收藏合计</x:v>
      </x:c>
      <x:c r="E8" s="14"/>
      <x:c r="F8" s="20" t="d">
        <x:v>2026-10-22T06:39:33.589Z</x:v>
      </x:c>
      <x:c r="G8" s="11" t="str">
        <x:v>名称与简介匹配 机构认证及主体待复核</x:v>
      </x:c>
      <x:c r="H8" s="12" t="str">
        <x:v>打开原文</x:v>
      </x:c>
    </x:row>
    <x:row r="9" ht="26.399999618530273" hidden="0" customHeight="1">
      <x:c r="A9" s="10" t="str">
        <x:v>HIMMR
乐乐学姐优质脱单·陌上花开HIMMR</x:v>
      </x:c>
      <x:c r="B9" s="15"/>
      <x:c r="C9" s="15" t="n">
        <x:v>22325</x:v>
      </x:c>
      <x:c r="D9" s="10" t="str">
        <x:v>获赞与收藏合计</x:v>
      </x:c>
      <x:c r="E9" s="15"/>
      <x:c r="F9" s="21" t="d">
        <x:v>2026-10-22T06:39:33.589Z</x:v>
      </x:c>
      <x:c r="G9" s="10" t="str">
        <x:v>名称与简介匹配 机构认证及主体待复核</x:v>
      </x:c>
      <x:c r="H9" s="13" t="str">
        <x:v>打开原文</x:v>
      </x:c>
    </x:row>
    <x:row r="10" ht="26.399999618530273" hidden="0" customHeight="1">
      <x:c r="A10" s="11" t="str">
        <x:v>金凤凰深港婚恋
金凤凰深港婚恋</x:v>
      </x:c>
      <x:c r="B10" s="14" t="n">
        <x:v>412</x:v>
      </x:c>
      <x:c r="C10" s="14" t="n">
        <x:v>460</x:v>
      </x:c>
      <x:c r="D10" s="11" t="str">
        <x:v>获赞与收藏合计</x:v>
      </x:c>
      <x:c r="E10" s="14"/>
      <x:c r="F10" s="20" t="d">
        <x:v>2026-10-22T06:43:40.024Z</x:v>
      </x:c>
      <x:c r="G10" s="11" t="str">
        <x:v>名称与简介匹配 机构认证及主体待复核</x:v>
      </x:c>
      <x:c r="H10" s="12" t="str">
        <x:v>打开原文</x:v>
      </x:c>
    </x:row>
    <x:row r="11" ht="15" hidden="0" customHeight="1">
      <x:c r="A11" s="10" t="str">
        <x:v>大超说媒 抖音03</x:v>
      </x:c>
      <x:c r="B11" s="15" t="n">
        <x:v>240000</x:v>
      </x:c>
      <x:c r="C11" s="15" t="n">
        <x:v>10191000</x:v>
      </x:c>
      <x:c r="D11" s="10" t="str">
        <x:v>累计获赞</x:v>
      </x:c>
      <x:c r="E11" s="15" t="n">
        <x:v>212</x:v>
      </x:c>
      <x:c r="F11" s="21" t="d">
        <x:v>2026-10-22T12:00:00.000Z</x:v>
      </x:c>
      <x:c r="G11" s="10" t="str">
        <x:v>前轮浏览器核验复用；与05号不作受众去重相加</x:v>
      </x:c>
      <x:c r="H11" s="13" t="str">
        <x:v>打开原文</x:v>
      </x:c>
    </x:row>
    <x:row r="12" ht="15" hidden="0" customHeight="1">
      <x:c r="A12" s="11" t="str">
        <x:v>大超说媒 抖音05</x:v>
      </x:c>
      <x:c r="B12" s="14" t="n">
        <x:v>72000</x:v>
      </x:c>
      <x:c r="C12" s="14" t="n">
        <x:v>1661000</x:v>
      </x:c>
      <x:c r="D12" s="11" t="str">
        <x:v>累计获赞</x:v>
      </x:c>
      <x:c r="E12" s="14" t="n">
        <x:v>337</x:v>
      </x:c>
      <x:c r="F12" s="20" t="d">
        <x:v>2026-10-22T12:00:00.000Z</x:v>
      </x:c>
      <x:c r="G12" s="11" t="str">
        <x:v>前轮浏览器核验复用；与03号不作受众去重相加</x:v>
      </x:c>
      <x:c r="H12" s="12" t="str">
        <x:v>打开原文</x:v>
      </x:c>
    </x:row>
    <x:row r="13" ht="15" hidden="0" customHeight="1">
      <x:c r="A13" s="10" t="str">
        <x:v>我主良缘 抖音同名账号</x:v>
      </x:c>
      <x:c r="B13" s="15" t="n">
        <x:v>3021</x:v>
      </x:c>
      <x:c r="C13" s="15" t="n">
        <x:v>8756</x:v>
      </x:c>
      <x:c r="D13" s="10" t="str">
        <x:v>累计获赞</x:v>
      </x:c>
      <x:c r="E13" s="15" t="n">
        <x:v>558</x:v>
      </x:c>
      <x:c r="F13" s="21" t="d">
        <x:v>2026-10-22T12:00:00.000Z</x:v>
      </x:c>
      <x:c r="G13" s="10" t="str">
        <x:v>主体未确认；可见首个非置顶样例为2024-08-15，不计本期活跃</x:v>
      </x:c>
      <x:c r="H13" s="13" t="str">
        <x:v>打开原文</x:v>
      </x:c>
    </x:row>
  </x:sheetData>
  <x:hyperlinks>
    <x:hyperlink xmlns:r="http://schemas.openxmlformats.org/officeDocument/2006/relationships" ref="H6" r:id="rIdResearch1"/>
    <x:hyperlink xmlns:r="http://schemas.openxmlformats.org/officeDocument/2006/relationships" ref="H7" r:id="rIdResearch2"/>
    <x:hyperlink xmlns:r="http://schemas.openxmlformats.org/officeDocument/2006/relationships" ref="H8" r:id="rIdResearch3"/>
    <x:hyperlink xmlns:r="http://schemas.openxmlformats.org/officeDocument/2006/relationships" ref="H9" r:id="rIdResearch4"/>
    <x:hyperlink xmlns:r="http://schemas.openxmlformats.org/officeDocument/2006/relationships" ref="H10" r:id="rIdResearch5"/>
    <x:hyperlink xmlns:r="http://schemas.openxmlformats.org/officeDocument/2006/relationships" ref="H11" r:id="rIdResearch6"/>
    <x:hyperlink xmlns:r="http://schemas.openxmlformats.org/officeDocument/2006/relationships" ref="H12" r:id="rIdResearch7"/>
    <x:hyperlink xmlns:r="http://schemas.openxmlformats.org/officeDocument/2006/relationships" ref="H13" r:id="rIdResearch8"/>
  </x:hyperlinks>
  <x:pageMargins left="0.7" right="0.7" top="0.75" bottom="0.75" header="0.3" footer="0.3"/>
  <x:tableParts count="1">
    <x:tablePart xmlns:r="http://schemas.openxmlformats.org/officeDocument/2006/relationships" r:id="Rdcfcdafada2b4de0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3" hidden="0" customWidth="1"/>
    <x:col min="2" max="2" width="31" hidden="0" customWidth="1"/>
    <x:col min="3" max="3" width="14" hidden="0" customWidth="1"/>
    <x:col min="4" max="4" width="19" hidden="0" customWidth="1"/>
    <x:col min="5" max="5" width="66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32" customHeight="1">
      <x:c r="A2" s="2" t="str">
        <x:v>内容明细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6" customHeight="1">
      <x:c r="A3" s="3" t="str">
        <x:v>观察窗2026-07-25至10-22；小红书59条本轮样本，抖音14条复用，按内容去重。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32" customHeight="1">
      <x:c r="A5" s="8" t="str">
        <x:v>品牌</x:v>
      </x:c>
      <x:c r="B5" s="8" t="str">
        <x:v>账号</x:v>
      </x:c>
      <x:c r="C5" s="8" t="str">
        <x:v>平台</x:v>
      </x:c>
      <x:c r="D5" s="8" t="str">
        <x:v>发布日期</x:v>
      </x:c>
      <x:c r="E5" s="8" t="str">
        <x:v>内容主题</x:v>
      </x:c>
      <x:c r="F5" s="8" t="str">
        <x:v>点赞</x:v>
      </x:c>
      <x:c r="G5" s="8" t="str">
        <x:v>评论</x:v>
      </x:c>
      <x:c r="H5" s="8" t="str">
        <x:v>收藏</x:v>
      </x:c>
      <x:c r="I5" s="8" t="str">
        <x:v>分享</x:v>
      </x:c>
      <x:c r="J5" s="8" t="str">
        <x:v>原文</x:v>
      </x:c>
    </x:row>
    <x:row r="6" ht="15" hidden="0" customHeight="1">
      <x:c r="A6" s="11" t="str">
        <x:v>钻石婚恋</x:v>
      </x:c>
      <x:c r="B6" s="11" t="str">
        <x:v>钻石婚恋</x:v>
      </x:c>
      <x:c r="C6" s="11" t="str">
        <x:v>小红书</x:v>
      </x:c>
      <x:c r="D6" s="20" t="d">
        <x:v>2026-10-22T12:00:00.000Z</x:v>
      </x:c>
      <x:c r="E6" s="11" t="str">
        <x:v>计划55岁结婚的女孩</x:v>
      </x:c>
      <x:c r="F6" s="14" t="n">
        <x:v>1</x:v>
      </x:c>
      <x:c r="G6" s="14" t="n">
        <x:v>0</x:v>
      </x:c>
      <x:c r="H6" s="14" t="n">
        <x:v>0</x:v>
      </x:c>
      <x:c r="I6" s="14" t="n">
        <x:v>0</x:v>
      </x:c>
      <x:c r="J6" s="12" t="str">
        <x:v>打开原文</x:v>
      </x:c>
    </x:row>
    <x:row r="7" ht="15" hidden="0" customHeight="1">
      <x:c r="A7" s="10" t="str">
        <x:v>钻石婚恋</x:v>
      </x:c>
      <x:c r="B7" s="10" t="str">
        <x:v>钻石婚恋</x:v>
      </x:c>
      <x:c r="C7" s="10" t="str">
        <x:v>小红书</x:v>
      </x:c>
      <x:c r="D7" s="21" t="d">
        <x:v>2026-10-18T12:00:00.000Z</x:v>
      </x:c>
      <x:c r="E7" s="10" t="str">
        <x:v>A9人群的婚姻消费观</x:v>
      </x:c>
      <x:c r="F7" s="15" t="n">
        <x:v>0</x:v>
      </x:c>
      <x:c r="G7" s="15" t="n">
        <x:v>0</x:v>
      </x:c>
      <x:c r="H7" s="15" t="n">
        <x:v>0</x:v>
      </x:c>
      <x:c r="I7" s="15" t="n">
        <x:v>0</x:v>
      </x:c>
      <x:c r="J7" s="13" t="str">
        <x:v>打开原文</x:v>
      </x:c>
    </x:row>
    <x:row r="8" ht="15" hidden="0" customHeight="1">
      <x:c r="A8" s="11" t="str">
        <x:v>钻石婚恋</x:v>
      </x:c>
      <x:c r="B8" s="11" t="str">
        <x:v>钻石婚恋</x:v>
      </x:c>
      <x:c r="C8" s="11" t="str">
        <x:v>小红书</x:v>
      </x:c>
      <x:c r="D8" s="20" t="d">
        <x:v>2026-09-10T12:00:00.000Z</x:v>
      </x:c>
      <x:c r="E8" s="11" t="str">
        <x:v>爱家人的正确方式</x:v>
      </x:c>
      <x:c r="F8" s="14" t="n">
        <x:v>0</x:v>
      </x:c>
      <x:c r="G8" s="14" t="n">
        <x:v>0</x:v>
      </x:c>
      <x:c r="H8" s="14" t="n">
        <x:v>0</x:v>
      </x:c>
      <x:c r="I8" s="14" t="n">
        <x:v>0</x:v>
      </x:c>
      <x:c r="J8" s="12" t="str">
        <x:v>打开原文</x:v>
      </x:c>
    </x:row>
    <x:row r="9" ht="15" hidden="0" customHeight="1">
      <x:c r="A9" s="10" t="str">
        <x:v>钻石婚恋</x:v>
      </x:c>
      <x:c r="B9" s="10" t="str">
        <x:v>钻石婚恋</x:v>
      </x:c>
      <x:c r="C9" s="10" t="str">
        <x:v>小红书</x:v>
      </x:c>
      <x:c r="D9" s="21" t="d">
        <x:v>2026-09-05T12:00:00.000Z</x:v>
      </x:c>
      <x:c r="E9" s="10" t="str">
        <x:v>钻石幸福沙龙</x:v>
      </x:c>
      <x:c r="F9" s="15" t="n">
        <x:v>1</x:v>
      </x:c>
      <x:c r="G9" s="15" t="n">
        <x:v>0</x:v>
      </x:c>
      <x:c r="H9" s="15" t="n">
        <x:v>0</x:v>
      </x:c>
      <x:c r="I9" s="15" t="n">
        <x:v>2</x:v>
      </x:c>
      <x:c r="J9" s="13" t="str">
        <x:v>打开原文</x:v>
      </x:c>
    </x:row>
    <x:row r="10" ht="15" hidden="0" customHeight="1">
      <x:c r="A10" s="11" t="str">
        <x:v>钻石婚恋</x:v>
      </x:c>
      <x:c r="B10" s="11" t="str">
        <x:v>钻石婚恋</x:v>
      </x:c>
      <x:c r="C10" s="11" t="str">
        <x:v>小红书</x:v>
      </x:c>
      <x:c r="D10" s="20" t="d">
        <x:v>2026-08-31T12:00:00.000Z</x:v>
      </x:c>
      <x:c r="E10" s="11" t="str">
        <x:v>QS海归名校单身派对</x:v>
      </x:c>
      <x:c r="F10" s="14" t="n">
        <x:v>2</x:v>
      </x:c>
      <x:c r="G10" s="14" t="n">
        <x:v>0</x:v>
      </x:c>
      <x:c r="H10" s="14" t="n">
        <x:v>0</x:v>
      </x:c>
      <x:c r="I10" s="14" t="n">
        <x:v>0</x:v>
      </x:c>
      <x:c r="J10" s="12" t="str">
        <x:v>打开原文</x:v>
      </x:c>
    </x:row>
    <x:row r="11" ht="15" hidden="0" customHeight="1">
      <x:c r="A11" s="10" t="str">
        <x:v>钻石婚恋</x:v>
      </x:c>
      <x:c r="B11" s="10" t="str">
        <x:v>钻石婚恋</x:v>
      </x:c>
      <x:c r="C11" s="10" t="str">
        <x:v>小红书</x:v>
      </x:c>
      <x:c r="D11" s="21" t="d">
        <x:v>2026-08-15T12:00:00.000Z</x:v>
      </x:c>
      <x:c r="E11" s="10" t="str">
        <x:v>康康我的小红书新头像 🗣</x:v>
      </x:c>
      <x:c r="F11" s="15" t="n">
        <x:v>0</x:v>
      </x:c>
      <x:c r="G11" s="15" t="n">
        <x:v>0</x:v>
      </x:c>
      <x:c r="H11" s="15" t="n">
        <x:v>0</x:v>
      </x:c>
      <x:c r="I11" s="15" t="n">
        <x:v>0</x:v>
      </x:c>
      <x:c r="J11" s="13" t="str">
        <x:v>打开原文</x:v>
      </x:c>
    </x:row>
    <x:row r="12" ht="15" hidden="0" customHeight="1">
      <x:c r="A12" s="11" t="str">
        <x:v>钻石婚恋</x:v>
      </x:c>
      <x:c r="B12" s="11" t="str">
        <x:v>钻石婚恋</x:v>
      </x:c>
      <x:c r="C12" s="11" t="str">
        <x:v>小红书</x:v>
      </x:c>
      <x:c r="D12" s="20" t="d">
        <x:v>2026-08-15T12:00:00.000Z</x:v>
      </x:c>
      <x:c r="E12" s="11" t="str">
        <x:v>一个180、90后创二代的择偶标准</x:v>
      </x:c>
      <x:c r="F12" s="14" t="n">
        <x:v>2</x:v>
      </x:c>
      <x:c r="G12" s="14" t="n">
        <x:v>0</x:v>
      </x:c>
      <x:c r="H12" s="14" t="n">
        <x:v>1</x:v>
      </x:c>
      <x:c r="I12" s="14" t="n">
        <x:v>1</x:v>
      </x:c>
      <x:c r="J12" s="12" t="str">
        <x:v>打开原文</x:v>
      </x:c>
    </x:row>
    <x:row r="13" ht="15" hidden="0" customHeight="1">
      <x:c r="A13" s="10" t="str">
        <x:v>大超说媒</x:v>
      </x:c>
      <x:c r="B13" s="10" t="str">
        <x:v>大超说媒</x:v>
      </x:c>
      <x:c r="C13" s="10" t="str">
        <x:v>小红书</x:v>
      </x:c>
      <x:c r="D13" s="21" t="d">
        <x:v>2026-10-22T12:00:00.000Z</x:v>
      </x:c>
      <x:c r="E13" s="10" t="str">
        <x:v>在婚恋地狱模式的上海，怎么突围</x:v>
      </x:c>
      <x:c r="F13" s="15" t="n">
        <x:v>14</x:v>
      </x:c>
      <x:c r="G13" s="15" t="n">
        <x:v>6</x:v>
      </x:c>
      <x:c r="H13" s="15" t="n">
        <x:v>5</x:v>
      </x:c>
      <x:c r="I13" s="15" t="n">
        <x:v>3</x:v>
      </x:c>
      <x:c r="J13" s="13" t="str">
        <x:v>打开原文</x:v>
      </x:c>
    </x:row>
    <x:row r="14" ht="15" hidden="0" customHeight="1">
      <x:c r="A14" s="11" t="str">
        <x:v>大超说媒</x:v>
      </x:c>
      <x:c r="B14" s="11" t="str">
        <x:v>大超说媒</x:v>
      </x:c>
      <x:c r="C14" s="11" t="str">
        <x:v>小红书</x:v>
      </x:c>
      <x:c r="D14" s="20" t="d">
        <x:v>2026-10-21T12:00:00.000Z</x:v>
      </x:c>
      <x:c r="E14" s="11" t="str">
        <x:v>别内耗，行就行，不行就拉倒</x:v>
      </x:c>
      <x:c r="F14" s="14" t="n">
        <x:v>3</x:v>
      </x:c>
      <x:c r="G14" s="14" t="n">
        <x:v>1</x:v>
      </x:c>
      <x:c r="H14" s="14" t="n">
        <x:v>0</x:v>
      </x:c>
      <x:c r="I14" s="14" t="n">
        <x:v>1</x:v>
      </x:c>
      <x:c r="J14" s="12" t="str">
        <x:v>打开原文</x:v>
      </x:c>
    </x:row>
    <x:row r="15" ht="15" hidden="0" customHeight="1">
      <x:c r="A15" s="10" t="str">
        <x:v>大超说媒</x:v>
      </x:c>
      <x:c r="B15" s="10" t="str">
        <x:v>大超说媒</x:v>
      </x:c>
      <x:c r="C15" s="10" t="str">
        <x:v>小红书</x:v>
      </x:c>
      <x:c r="D15" s="21" t="d">
        <x:v>2026-10-19T12:00:00.000Z</x:v>
      </x:c>
      <x:c r="E15" s="10" t="str">
        <x:v>婚恋行业的尽头是什么</x:v>
      </x:c>
      <x:c r="F15" s="15" t="n">
        <x:v>37</x:v>
      </x:c>
      <x:c r="G15" s="15" t="n">
        <x:v>10</x:v>
      </x:c>
      <x:c r="H15" s="15" t="n">
        <x:v>15</x:v>
      </x:c>
      <x:c r="I15" s="15" t="n">
        <x:v>11</x:v>
      </x:c>
      <x:c r="J15" s="13" t="str">
        <x:v>打开原文</x:v>
      </x:c>
    </x:row>
    <x:row r="16" ht="15" hidden="0" customHeight="1">
      <x:c r="A16" s="11" t="str">
        <x:v>大超说媒</x:v>
      </x:c>
      <x:c r="B16" s="11" t="str">
        <x:v>大超说媒</x:v>
      </x:c>
      <x:c r="C16" s="11" t="str">
        <x:v>小红书</x:v>
      </x:c>
      <x:c r="D16" s="20" t="d">
        <x:v>2026-10-10T12:00:00.000Z</x:v>
      </x:c>
      <x:c r="E16" s="11" t="str">
        <x:v>澳门不错，值得再来</x:v>
      </x:c>
      <x:c r="F16" s="14" t="n">
        <x:v>28</x:v>
      </x:c>
      <x:c r="G16" s="14" t="n">
        <x:v>5</x:v>
      </x:c>
      <x:c r="H16" s="14" t="n">
        <x:v>3</x:v>
      </x:c>
      <x:c r="I16" s="14" t="n">
        <x:v>3</x:v>
      </x:c>
      <x:c r="J16" s="12" t="str">
        <x:v>打开原文</x:v>
      </x:c>
    </x:row>
    <x:row r="17" ht="15" hidden="0" customHeight="1">
      <x:c r="A17" s="10" t="str">
        <x:v>大超说媒</x:v>
      </x:c>
      <x:c r="B17" s="10" t="str">
        <x:v>大超说媒</x:v>
      </x:c>
      <x:c r="C17" s="10" t="str">
        <x:v>小红书</x:v>
      </x:c>
      <x:c r="D17" s="21" t="d">
        <x:v>2026-10-09T12:00:00.000Z</x:v>
      </x:c>
      <x:c r="E17" s="10" t="str">
        <x:v>高嫁的风险与收益，赔率篇</x:v>
      </x:c>
      <x:c r="F17" s="15" t="n">
        <x:v>97</x:v>
      </x:c>
      <x:c r="G17" s="15" t="n">
        <x:v>12</x:v>
      </x:c>
      <x:c r="H17" s="15" t="n">
        <x:v>63</x:v>
      </x:c>
      <x:c r="I17" s="15" t="n">
        <x:v>20</x:v>
      </x:c>
      <x:c r="J17" s="13" t="str">
        <x:v>打开原文</x:v>
      </x:c>
    </x:row>
    <x:row r="18" ht="15" hidden="0" customHeight="1">
      <x:c r="A18" s="11" t="str">
        <x:v>大超说媒</x:v>
      </x:c>
      <x:c r="B18" s="11" t="str">
        <x:v>大超说媒</x:v>
      </x:c>
      <x:c r="C18" s="11" t="str">
        <x:v>小红书</x:v>
      </x:c>
      <x:c r="D18" s="20" t="d">
        <x:v>2026-09-12T12:00:00.000Z</x:v>
      </x:c>
      <x:c r="E18" s="11" t="str">
        <x:v>交易逻辑</x:v>
      </x:c>
      <x:c r="F18" s="14" t="n">
        <x:v>31</x:v>
      </x:c>
      <x:c r="G18" s="14" t="n">
        <x:v>9</x:v>
      </x:c>
      <x:c r="H18" s="14" t="n">
        <x:v>9</x:v>
      </x:c>
      <x:c r="I18" s="14" t="n">
        <x:v>6</x:v>
      </x:c>
      <x:c r="J18" s="12" t="str">
        <x:v>打开原文</x:v>
      </x:c>
    </x:row>
    <x:row r="19" ht="15" hidden="0" customHeight="1">
      <x:c r="A19" s="10" t="str">
        <x:v>大超说媒</x:v>
      </x:c>
      <x:c r="B19" s="10" t="str">
        <x:v>大超说媒</x:v>
      </x:c>
      <x:c r="C19" s="10" t="str">
        <x:v>小红书</x:v>
      </x:c>
      <x:c r="D19" s="21" t="d">
        <x:v>2026-09-08T12:00:00.000Z</x:v>
      </x:c>
      <x:c r="E19" s="10" t="str">
        <x:v>富裕幻觉毁了艺术生</x:v>
      </x:c>
      <x:c r="F19" s="15" t="n">
        <x:v>70</x:v>
      </x:c>
      <x:c r="G19" s="15" t="n">
        <x:v>19</x:v>
      </x:c>
      <x:c r="H19" s="15" t="n">
        <x:v>30</x:v>
      </x:c>
      <x:c r="I19" s="15" t="n">
        <x:v>25</x:v>
      </x:c>
      <x:c r="J19" s="13" t="str">
        <x:v>打开原文</x:v>
      </x:c>
    </x:row>
    <x:row r="20" ht="15" hidden="0" customHeight="1">
      <x:c r="A20" s="11" t="str">
        <x:v>大超说媒</x:v>
      </x:c>
      <x:c r="B20" s="11" t="str">
        <x:v>大超说媒</x:v>
      </x:c>
      <x:c r="C20" s="11" t="str">
        <x:v>小红书</x:v>
      </x:c>
      <x:c r="D20" s="20" t="d">
        <x:v>2026-09-05T12:00:00.000Z</x:v>
      </x:c>
      <x:c r="E20" s="11" t="str">
        <x:v>一天两场婚礼，月老的超级成就感</x:v>
      </x:c>
      <x:c r="F20" s="14" t="n">
        <x:v>34</x:v>
      </x:c>
      <x:c r="G20" s="14" t="n">
        <x:v>4</x:v>
      </x:c>
      <x:c r="H20" s="14" t="n">
        <x:v>4</x:v>
      </x:c>
      <x:c r="I20" s="14" t="n">
        <x:v>2</x:v>
      </x:c>
      <x:c r="J20" s="12" t="str">
        <x:v>打开原文</x:v>
      </x:c>
    </x:row>
    <x:row r="21" ht="15" hidden="0" customHeight="1">
      <x:c r="A21" s="10" t="str">
        <x:v>大超说媒</x:v>
      </x:c>
      <x:c r="B21" s="10" t="str">
        <x:v>大超说媒</x:v>
      </x:c>
      <x:c r="C21" s="10" t="str">
        <x:v>小红书</x:v>
      </x:c>
      <x:c r="D21" s="21" t="d">
        <x:v>2026-09-04T12:00:00.000Z</x:v>
      </x:c>
      <x:c r="E21" s="10" t="str">
        <x:v>希望对方有解决问题的能力是什么意思</x:v>
      </x:c>
      <x:c r="F21" s="15" t="n">
        <x:v>41</x:v>
      </x:c>
      <x:c r="G21" s="15" t="n">
        <x:v>23</x:v>
      </x:c>
      <x:c r="H21" s="15" t="n">
        <x:v>21</x:v>
      </x:c>
      <x:c r="I21" s="15" t="n">
        <x:v>11</x:v>
      </x:c>
      <x:c r="J21" s="13" t="str">
        <x:v>打开原文</x:v>
      </x:c>
    </x:row>
    <x:row r="22" ht="15" hidden="0" customHeight="1">
      <x:c r="A22" s="11" t="str">
        <x:v>大超说媒</x:v>
      </x:c>
      <x:c r="B22" s="11" t="str">
        <x:v>大超说媒</x:v>
      </x:c>
      <x:c r="C22" s="11" t="str">
        <x:v>小红书</x:v>
      </x:c>
      <x:c r="D22" s="20" t="d">
        <x:v>2026-08-31T12:00:00.000Z</x:v>
      </x:c>
      <x:c r="E22" s="11" t="str">
        <x:v>我这辈子不会再穷了</x:v>
      </x:c>
      <x:c r="F22" s="14" t="n">
        <x:v>83</x:v>
      </x:c>
      <x:c r="G22" s="14" t="n">
        <x:v>28</x:v>
      </x:c>
      <x:c r="H22" s="14" t="n">
        <x:v>40</x:v>
      </x:c>
      <x:c r="I22" s="14" t="n">
        <x:v>33</x:v>
      </x:c>
      <x:c r="J22" s="12" t="str">
        <x:v>打开原文</x:v>
      </x:c>
    </x:row>
    <x:row r="23" ht="15" hidden="0" customHeight="1">
      <x:c r="A23" s="10" t="str">
        <x:v>HIMMR</x:v>
      </x:c>
      <x:c r="B23" s="10" t="str">
        <x:v>陌上花开HIMMR</x:v>
      </x:c>
      <x:c r="C23" s="10" t="str">
        <x:v>小红书</x:v>
      </x:c>
      <x:c r="D23" s="21" t="d">
        <x:v>2026-09-01T12:00:00.000Z</x:v>
      </x:c>
      <x:c r="E23" s="10" t="str">
        <x:v>认真的人，值得认真的相遇</x:v>
      </x:c>
      <x:c r="F23" s="15" t="n">
        <x:v>4</x:v>
      </x:c>
      <x:c r="G23" s="15" t="n">
        <x:v>0</x:v>
      </x:c>
      <x:c r="H23" s="15" t="n">
        <x:v>4</x:v>
      </x:c>
      <x:c r="I23" s="15" t="n">
        <x:v>1</x:v>
      </x:c>
      <x:c r="J23" s="13" t="str">
        <x:v>打开原文</x:v>
      </x:c>
    </x:row>
    <x:row r="24" ht="15" hidden="0" customHeight="1">
      <x:c r="A24" s="11" t="str">
        <x:v>金凤凰深港婚恋</x:v>
      </x:c>
      <x:c r="B24" s="11" t="str">
        <x:v>金凤凰深港婚恋</x:v>
      </x:c>
      <x:c r="C24" s="11" t="str">
        <x:v>小红书</x:v>
      </x:c>
      <x:c r="D24" s="20" t="d">
        <x:v>2026-08-22T12:00:00.000Z</x:v>
      </x:c>
      <x:c r="E24" s="11" t="str">
        <x:v>谁能拒绝95年深圳优秀的女生啊</x:v>
      </x:c>
      <x:c r="F24" s="14" t="n">
        <x:v>0</x:v>
      </x:c>
      <x:c r="G24" s="14" t="n">
        <x:v>0</x:v>
      </x:c>
      <x:c r="H24" s="14" t="n">
        <x:v>0</x:v>
      </x:c>
      <x:c r="I24" s="14" t="n">
        <x:v>0</x:v>
      </x:c>
      <x:c r="J24" s="12" t="str">
        <x:v>打开原文</x:v>
      </x:c>
    </x:row>
    <x:row r="25" ht="15" hidden="0" customHeight="1">
      <x:c r="A25" s="10" t="str">
        <x:v>金凤凰深港婚恋</x:v>
      </x:c>
      <x:c r="B25" s="10" t="str">
        <x:v>金凤凰深港婚恋</x:v>
      </x:c>
      <x:c r="C25" s="10" t="str">
        <x:v>小红书</x:v>
      </x:c>
      <x:c r="D25" s="21" t="d">
        <x:v>2026-08-20T12:00:00.000Z</x:v>
      </x:c>
      <x:c r="E25" s="10" t="str">
        <x:v>是谁还没认识96年香港优质男士～</x:v>
      </x:c>
      <x:c r="F25" s="15" t="n">
        <x:v>1</x:v>
      </x:c>
      <x:c r="G25" s="15" t="n">
        <x:v>0</x:v>
      </x:c>
      <x:c r="H25" s="15" t="n">
        <x:v>0</x:v>
      </x:c>
      <x:c r="I25" s="15" t="n">
        <x:v>0</x:v>
      </x:c>
      <x:c r="J25" s="13" t="str">
        <x:v>打开原文</x:v>
      </x:c>
    </x:row>
    <x:row r="26" ht="15" hidden="0" customHeight="1">
      <x:c r="A26" s="11" t="str">
        <x:v>金凤凰深港婚恋</x:v>
      </x:c>
      <x:c r="B26" s="11" t="str">
        <x:v>金凤凰深港婚恋</x:v>
      </x:c>
      <x:c r="C26" s="11" t="str">
        <x:v>小红书</x:v>
      </x:c>
      <x:c r="D26" s="20" t="d">
        <x:v>2026-08-07T12:00:00.000Z</x:v>
      </x:c>
      <x:c r="E26" s="11" t="str">
        <x:v>75岁香港优质未婚男士</x:v>
      </x:c>
      <x:c r="F26" s="14" t="n">
        <x:v>0</x:v>
      </x:c>
      <x:c r="G26" s="14" t="n">
        <x:v>0</x:v>
      </x:c>
      <x:c r="H26" s="14" t="n">
        <x:v>0</x:v>
      </x:c>
      <x:c r="I26" s="14" t="n">
        <x:v>0</x:v>
      </x:c>
      <x:c r="J26" s="12" t="str">
        <x:v>打开原文</x:v>
      </x:c>
    </x:row>
    <x:row r="27" ht="15" hidden="0" customHeight="1">
      <x:c r="A27" s="10" t="str">
        <x:v>大超说媒</x:v>
      </x:c>
      <x:c r="B27" s="10" t="str">
        <x:v>大超说媒</x:v>
      </x:c>
      <x:c r="C27" s="10" t="str">
        <x:v>小红书</x:v>
      </x:c>
      <x:c r="D27" s="21" t="d">
        <x:v>2026-10-19T12:00:00.000Z</x:v>
      </x:c>
      <x:c r="E27" s="10" t="str">
        <x:v>上海高净值相亲局</x:v>
      </x:c>
      <x:c r="F27" s="15" t="n">
        <x:v>18</x:v>
      </x:c>
      <x:c r="G27" s="15" t="n">
        <x:v>6</x:v>
      </x:c>
      <x:c r="H27" s="15" t="n">
        <x:v>5</x:v>
      </x:c>
      <x:c r="I27" s="15" t="n">
        <x:v>1</x:v>
      </x:c>
      <x:c r="J27" s="13" t="str">
        <x:v>打开原文</x:v>
      </x:c>
    </x:row>
    <x:row r="28" ht="15" hidden="0" customHeight="1">
      <x:c r="A28" s="11" t="str">
        <x:v>大超说媒</x:v>
      </x:c>
      <x:c r="B28" s="11" t="str">
        <x:v>大超说媒</x:v>
      </x:c>
      <x:c r="C28" s="11" t="str">
        <x:v>小红书</x:v>
      </x:c>
      <x:c r="D28" s="20" t="d">
        <x:v>2026-10-22T12:00:00.000Z</x:v>
      </x:c>
      <x:c r="E28" s="11" t="str">
        <x:v>男生喜欢的女生类型参考</x:v>
      </x:c>
      <x:c r="F28" s="14" t="n">
        <x:v>37</x:v>
      </x:c>
      <x:c r="G28" s="14" t="n">
        <x:v>8</x:v>
      </x:c>
      <x:c r="H28" s="14" t="n">
        <x:v>20</x:v>
      </x:c>
      <x:c r="I28" s="14" t="n">
        <x:v>5</x:v>
      </x:c>
      <x:c r="J28" s="12" t="str">
        <x:v>打开原文</x:v>
      </x:c>
    </x:row>
    <x:row r="29" ht="15" hidden="0" customHeight="1">
      <x:c r="A29" s="10" t="str">
        <x:v>大超说媒</x:v>
      </x:c>
      <x:c r="B29" s="10" t="str">
        <x:v>大超说媒</x:v>
      </x:c>
      <x:c r="C29" s="10" t="str">
        <x:v>小红书</x:v>
      </x:c>
      <x:c r="D29" s="21" t="d">
        <x:v>2026-10-18T12:00:00.000Z</x:v>
      </x:c>
      <x:c r="E29" s="10" t="str">
        <x:v>一个不花钱的老登是没有任何人格魅力的</x:v>
      </x:c>
      <x:c r="F29" s="15" t="n">
        <x:v>69</x:v>
      </x:c>
      <x:c r="G29" s="15" t="n">
        <x:v>18</x:v>
      </x:c>
      <x:c r="H29" s="15" t="n">
        <x:v>11</x:v>
      </x:c>
      <x:c r="I29" s="15" t="n">
        <x:v>26</x:v>
      </x:c>
      <x:c r="J29" s="13" t="str">
        <x:v>打开原文</x:v>
      </x:c>
    </x:row>
    <x:row r="30" ht="15" hidden="0" customHeight="1">
      <x:c r="A30" s="11" t="str">
        <x:v>大超说媒</x:v>
      </x:c>
      <x:c r="B30" s="11" t="str">
        <x:v>大超说媒</x:v>
      </x:c>
      <x:c r="C30" s="11" t="str">
        <x:v>小红书</x:v>
      </x:c>
      <x:c r="D30" s="20" t="d">
        <x:v>2026-10-18T12:00:00.000Z</x:v>
      </x:c>
      <x:c r="E30" s="11" t="str">
        <x:v>找清北媳妇是为了面子吗</x:v>
      </x:c>
      <x:c r="F30" s="14" t="n">
        <x:v>28</x:v>
      </x:c>
      <x:c r="G30" s="14" t="n">
        <x:v>22</x:v>
      </x:c>
      <x:c r="H30" s="14" t="n">
        <x:v>11</x:v>
      </x:c>
      <x:c r="I30" s="14" t="n">
        <x:v>4</x:v>
      </x:c>
      <x:c r="J30" s="12" t="str">
        <x:v>打开原文</x:v>
      </x:c>
    </x:row>
    <x:row r="31" ht="15" hidden="0" customHeight="1">
      <x:c r="A31" s="10" t="str">
        <x:v>大超说媒</x:v>
      </x:c>
      <x:c r="B31" s="10" t="str">
        <x:v>大超说媒</x:v>
      </x:c>
      <x:c r="C31" s="10" t="str">
        <x:v>小红书</x:v>
      </x:c>
      <x:c r="D31" s="21" t="d">
        <x:v>2026-10-17T12:00:00.000Z</x:v>
      </x:c>
      <x:c r="E31" s="10" t="str">
        <x:v>奶茶和东哥谁竞争力更强</x:v>
      </x:c>
      <x:c r="F31" s="15" t="n">
        <x:v>50</x:v>
      </x:c>
      <x:c r="G31" s="15" t="n">
        <x:v>20</x:v>
      </x:c>
      <x:c r="H31" s="15" t="n">
        <x:v>19</x:v>
      </x:c>
      <x:c r="I31" s="15" t="n">
        <x:v>8</x:v>
      </x:c>
      <x:c r="J31" s="13" t="str">
        <x:v>打开原文</x:v>
      </x:c>
    </x:row>
    <x:row r="32" ht="15" hidden="0" customHeight="1">
      <x:c r="A32" s="11" t="str">
        <x:v>大超说媒</x:v>
      </x:c>
      <x:c r="B32" s="11" t="str">
        <x:v>大超说媒</x:v>
      </x:c>
      <x:c r="C32" s="11" t="str">
        <x:v>小红书</x:v>
      </x:c>
      <x:c r="D32" s="20" t="d">
        <x:v>2026-10-16T12:00:00.000Z</x:v>
      </x:c>
      <x:c r="E32" s="11" t="str">
        <x:v>高嫁女生的共同特点</x:v>
      </x:c>
      <x:c r="F32" s="14" t="n">
        <x:v>57</x:v>
      </x:c>
      <x:c r="G32" s="14" t="n">
        <x:v>11</x:v>
      </x:c>
      <x:c r="H32" s="14" t="n">
        <x:v>32</x:v>
      </x:c>
      <x:c r="I32" s="14" t="n">
        <x:v>21</x:v>
      </x:c>
      <x:c r="J32" s="12" t="str">
        <x:v>打开原文</x:v>
      </x:c>
    </x:row>
    <x:row r="33" ht="15" hidden="0" customHeight="1">
      <x:c r="A33" s="10" t="str">
        <x:v>大超说媒</x:v>
      </x:c>
      <x:c r="B33" s="10" t="str">
        <x:v>大超说媒</x:v>
      </x:c>
      <x:c r="C33" s="10" t="str">
        <x:v>小红书</x:v>
      </x:c>
      <x:c r="D33" s="21" t="d">
        <x:v>2026-10-15T12:00:00.000Z</x:v>
      </x:c>
      <x:c r="E33" s="10" t="str">
        <x:v>清北本科局，纯文化生</x:v>
      </x:c>
      <x:c r="F33" s="15" t="n">
        <x:v>15</x:v>
      </x:c>
      <x:c r="G33" s="15" t="n">
        <x:v>3</x:v>
      </x:c>
      <x:c r="H33" s="15" t="n">
        <x:v>3</x:v>
      </x:c>
      <x:c r="I33" s="15" t="n">
        <x:v>4</x:v>
      </x:c>
      <x:c r="J33" s="13" t="str">
        <x:v>打开原文</x:v>
      </x:c>
    </x:row>
    <x:row r="34" ht="15" hidden="0" customHeight="1">
      <x:c r="A34" s="11" t="str">
        <x:v>大超说媒</x:v>
      </x:c>
      <x:c r="B34" s="11" t="str">
        <x:v>大超说媒</x:v>
      </x:c>
      <x:c r="C34" s="11" t="str">
        <x:v>小红书</x:v>
      </x:c>
      <x:c r="D34" s="20" t="d">
        <x:v>2026-10-11T12:00:00.000Z</x:v>
      </x:c>
      <x:c r="E34" s="11" t="str">
        <x:v>澳门真的繁华</x:v>
      </x:c>
      <x:c r="F34" s="14" t="n">
        <x:v>37</x:v>
      </x:c>
      <x:c r="G34" s="14" t="n">
        <x:v>2</x:v>
      </x:c>
      <x:c r="H34" s="14" t="n">
        <x:v>5</x:v>
      </x:c>
      <x:c r="I34" s="14" t="n">
        <x:v>5</x:v>
      </x:c>
      <x:c r="J34" s="12" t="str">
        <x:v>打开原文</x:v>
      </x:c>
    </x:row>
    <x:row r="35" ht="15" hidden="0" customHeight="1">
      <x:c r="A35" s="10" t="str">
        <x:v>大超说媒</x:v>
      </x:c>
      <x:c r="B35" s="10" t="str">
        <x:v>大超说媒</x:v>
      </x:c>
      <x:c r="C35" s="10" t="str">
        <x:v>小红书</x:v>
      </x:c>
      <x:c r="D35" s="21" t="d">
        <x:v>2026-10-10T12:00:00.000Z</x:v>
      </x:c>
      <x:c r="E35" s="10" t="str">
        <x:v>收入百万厉害吗</x:v>
      </x:c>
      <x:c r="F35" s="15" t="n">
        <x:v>43</x:v>
      </x:c>
      <x:c r="G35" s="15" t="n">
        <x:v>8</x:v>
      </x:c>
      <x:c r="H35" s="15" t="n">
        <x:v>22</x:v>
      </x:c>
      <x:c r="I35" s="15" t="n">
        <x:v>4</x:v>
      </x:c>
      <x:c r="J35" s="13" t="str">
        <x:v>打开原文</x:v>
      </x:c>
    </x:row>
    <x:row r="36" ht="15" hidden="0" customHeight="1">
      <x:c r="A36" s="11" t="str">
        <x:v>大超说媒</x:v>
      </x:c>
      <x:c r="B36" s="11" t="str">
        <x:v>大超说媒</x:v>
      </x:c>
      <x:c r="C36" s="11" t="str">
        <x:v>小红书</x:v>
      </x:c>
      <x:c r="D36" s="20" t="d">
        <x:v>2026-10-10T12:00:00.000Z</x:v>
      </x:c>
      <x:c r="E36" s="11" t="str">
        <x:v>一线城市美女的不同点</x:v>
      </x:c>
      <x:c r="F36" s="14" t="n">
        <x:v>63</x:v>
      </x:c>
      <x:c r="G36" s="14" t="n">
        <x:v>20</x:v>
      </x:c>
      <x:c r="H36" s="14" t="n">
        <x:v>29</x:v>
      </x:c>
      <x:c r="I36" s="14" t="n">
        <x:v>12</x:v>
      </x:c>
      <x:c r="J36" s="12" t="str">
        <x:v>打开原文</x:v>
      </x:c>
    </x:row>
    <x:row r="37" ht="15" hidden="0" customHeight="1">
      <x:c r="A37" s="10" t="str">
        <x:v>大超说媒</x:v>
      </x:c>
      <x:c r="B37" s="10" t="str">
        <x:v>大超说媒</x:v>
      </x:c>
      <x:c r="C37" s="10" t="str">
        <x:v>小红书</x:v>
      </x:c>
      <x:c r="D37" s="21" t="d">
        <x:v>2026-10-10T12:00:00.000Z</x:v>
      </x:c>
      <x:c r="E37" s="10" t="str">
        <x:v>为什么那么多勇闯相亲圈的帖子，勇在哪</x:v>
      </x:c>
      <x:c r="F37" s="15" t="n">
        <x:v>19</x:v>
      </x:c>
      <x:c r="G37" s="15" t="n">
        <x:v>4</x:v>
      </x:c>
      <x:c r="H37" s="15" t="n">
        <x:v>5</x:v>
      </x:c>
      <x:c r="I37" s="15" t="n">
        <x:v>1</x:v>
      </x:c>
      <x:c r="J37" s="13" t="str">
        <x:v>打开原文</x:v>
      </x:c>
    </x:row>
    <x:row r="38" ht="15" hidden="0" customHeight="1">
      <x:c r="A38" s="11" t="str">
        <x:v>大超说媒</x:v>
      </x:c>
      <x:c r="B38" s="11" t="str">
        <x:v>大超说媒</x:v>
      </x:c>
      <x:c r="C38" s="11" t="str">
        <x:v>小红书</x:v>
      </x:c>
      <x:c r="D38" s="20" t="d">
        <x:v>2026-10-10T12:00:00.000Z</x:v>
      </x:c>
      <x:c r="E38" s="11" t="str">
        <x:v>女生慕强，男生慕什么</x:v>
      </x:c>
      <x:c r="F38" s="14" t="n">
        <x:v>79</x:v>
      </x:c>
      <x:c r="G38" s="14" t="n">
        <x:v>105</x:v>
      </x:c>
      <x:c r="H38" s="14" t="n">
        <x:v>31</x:v>
      </x:c>
      <x:c r="I38" s="14" t="n">
        <x:v>11</x:v>
      </x:c>
      <x:c r="J38" s="12" t="str">
        <x:v>打开原文</x:v>
      </x:c>
    </x:row>
    <x:row r="39" ht="15" hidden="0" customHeight="1">
      <x:c r="A39" s="10" t="str">
        <x:v>大超说媒</x:v>
      </x:c>
      <x:c r="B39" s="10" t="str">
        <x:v>大超说媒</x:v>
      </x:c>
      <x:c r="C39" s="10" t="str">
        <x:v>小红书</x:v>
      </x:c>
      <x:c r="D39" s="21" t="d">
        <x:v>2026-10-08T12:00:00.000Z</x:v>
      </x:c>
      <x:c r="E39" s="10" t="str">
        <x:v>大湾区高净值相亲局</x:v>
      </x:c>
      <x:c r="F39" s="15" t="n">
        <x:v>13</x:v>
      </x:c>
      <x:c r="G39" s="15" t="n">
        <x:v>1</x:v>
      </x:c>
      <x:c r="H39" s="15" t="n">
        <x:v>3</x:v>
      </x:c>
      <x:c r="I39" s="15" t="n">
        <x:v>2</x:v>
      </x:c>
      <x:c r="J39" s="13" t="str">
        <x:v>打开原文</x:v>
      </x:c>
    </x:row>
    <x:row r="40" ht="15" hidden="0" customHeight="1">
      <x:c r="A40" s="11" t="str">
        <x:v>大超说媒</x:v>
      </x:c>
      <x:c r="B40" s="11" t="str">
        <x:v>大超说媒</x:v>
      </x:c>
      <x:c r="C40" s="11" t="str">
        <x:v>小红书</x:v>
      </x:c>
      <x:c r="D40" s="20" t="d">
        <x:v>2026-10-08T12:00:00.000Z</x:v>
      </x:c>
      <x:c r="E40" s="11" t="str">
        <x:v>深圳高净值相亲局</x:v>
      </x:c>
      <x:c r="F40" s="14" t="n">
        <x:v>8</x:v>
      </x:c>
      <x:c r="G40" s="14" t="n">
        <x:v>1</x:v>
      </x:c>
      <x:c r="H40" s="14" t="n">
        <x:v>8</x:v>
      </x:c>
      <x:c r="I40" s="14" t="n">
        <x:v>1</x:v>
      </x:c>
      <x:c r="J40" s="12" t="str">
        <x:v>打开原文</x:v>
      </x:c>
    </x:row>
    <x:row r="41" ht="15" hidden="0" customHeight="1">
      <x:c r="A41" s="10" t="str">
        <x:v>大超说媒</x:v>
      </x:c>
      <x:c r="B41" s="10" t="str">
        <x:v>大超说媒</x:v>
      </x:c>
      <x:c r="C41" s="10" t="str">
        <x:v>小红书</x:v>
      </x:c>
      <x:c r="D41" s="21" t="d">
        <x:v>2026-10-08T12:00:00.000Z</x:v>
      </x:c>
      <x:c r="E41" s="10" t="str">
        <x:v>本场相亲活动几万元都捐给福利院</x:v>
      </x:c>
      <x:c r="F41" s="15" t="n">
        <x:v>62</x:v>
      </x:c>
      <x:c r="G41" s="15" t="n">
        <x:v>8</x:v>
      </x:c>
      <x:c r="H41" s="15" t="n">
        <x:v>7</x:v>
      </x:c>
      <x:c r="I41" s="15" t="n">
        <x:v>1</x:v>
      </x:c>
      <x:c r="J41" s="13" t="str">
        <x:v>打开原文</x:v>
      </x:c>
    </x:row>
    <x:row r="42" ht="15" hidden="0" customHeight="1">
      <x:c r="A42" s="11" t="str">
        <x:v>大超说媒</x:v>
      </x:c>
      <x:c r="B42" s="11" t="str">
        <x:v>大超说媒</x:v>
      </x:c>
      <x:c r="C42" s="11" t="str">
        <x:v>小红书</x:v>
      </x:c>
      <x:c r="D42" s="20" t="d">
        <x:v>2026-10-05T12:00:00.000Z</x:v>
      </x:c>
      <x:c r="E42" s="11" t="str">
        <x:v>结婚影响搞事业么</x:v>
      </x:c>
      <x:c r="F42" s="14" t="n">
        <x:v>45</x:v>
      </x:c>
      <x:c r="G42" s="14" t="n">
        <x:v>37</x:v>
      </x:c>
      <x:c r="H42" s="14" t="n">
        <x:v>10</x:v>
      </x:c>
      <x:c r="I42" s="14" t="n">
        <x:v>6</x:v>
      </x:c>
      <x:c r="J42" s="12" t="str">
        <x:v>打开原文</x:v>
      </x:c>
    </x:row>
    <x:row r="43" ht="15" hidden="0" customHeight="1">
      <x:c r="A43" s="10" t="str">
        <x:v>大超说媒</x:v>
      </x:c>
      <x:c r="B43" s="10" t="str">
        <x:v>大超说媒</x:v>
      </x:c>
      <x:c r="C43" s="10" t="str">
        <x:v>小红书</x:v>
      </x:c>
      <x:c r="D43" s="21" t="d">
        <x:v>2026-10-05T12:00:00.000Z</x:v>
      </x:c>
      <x:c r="E43" s="10" t="str">
        <x:v>嫁给有钱人的终极秘诀</x:v>
      </x:c>
      <x:c r="F43" s="15" t="n">
        <x:v>70</x:v>
      </x:c>
      <x:c r="G43" s="15" t="n">
        <x:v>24</x:v>
      </x:c>
      <x:c r="H43" s="15" t="n">
        <x:v>47</x:v>
      </x:c>
      <x:c r="I43" s="15" t="n">
        <x:v>17</x:v>
      </x:c>
      <x:c r="J43" s="13" t="str">
        <x:v>打开原文</x:v>
      </x:c>
    </x:row>
    <x:row r="44" ht="15" hidden="0" customHeight="1">
      <x:c r="A44" s="11" t="str">
        <x:v>大超说媒</x:v>
      </x:c>
      <x:c r="B44" s="11" t="str">
        <x:v>大超说媒</x:v>
      </x:c>
      <x:c r="C44" s="11" t="str">
        <x:v>小红书</x:v>
      </x:c>
      <x:c r="D44" s="20" t="d">
        <x:v>2026-10-04T12:00:00.000Z</x:v>
      </x:c>
      <x:c r="E44" s="11" t="str">
        <x:v>深圳高净值相亲局现场</x:v>
      </x:c>
      <x:c r="F44" s="14" t="n">
        <x:v>29</x:v>
      </x:c>
      <x:c r="G44" s="14" t="n">
        <x:v>3</x:v>
      </x:c>
      <x:c r="H44" s="14" t="n">
        <x:v>23</x:v>
      </x:c>
      <x:c r="I44" s="14" t="n">
        <x:v>21</x:v>
      </x:c>
      <x:c r="J44" s="12" t="str">
        <x:v>打开原文</x:v>
      </x:c>
    </x:row>
    <x:row r="45" ht="15" hidden="0" customHeight="1">
      <x:c r="A45" s="10" t="str">
        <x:v>大超说媒</x:v>
      </x:c>
      <x:c r="B45" s="10" t="str">
        <x:v>大超说媒</x:v>
      </x:c>
      <x:c r="C45" s="10" t="str">
        <x:v>小红书</x:v>
      </x:c>
      <x:c r="D45" s="21" t="d">
        <x:v>2026-10-02T12:00:00.000Z</x:v>
      </x:c>
      <x:c r="E45" s="10" t="str">
        <x:v>有钱能让人变帅吗</x:v>
      </x:c>
      <x:c r="F45" s="15" t="n">
        <x:v>42</x:v>
      </x:c>
      <x:c r="G45" s="15" t="n">
        <x:v>15</x:v>
      </x:c>
      <x:c r="H45" s="15" t="n">
        <x:v>7</x:v>
      </x:c>
      <x:c r="I45" s="15" t="n">
        <x:v>16</x:v>
      </x:c>
      <x:c r="J45" s="13" t="str">
        <x:v>打开原文</x:v>
      </x:c>
    </x:row>
    <x:row r="46" ht="15" hidden="0" customHeight="1">
      <x:c r="A46" s="11" t="str">
        <x:v>大超说媒</x:v>
      </x:c>
      <x:c r="B46" s="11" t="str">
        <x:v>大超说媒</x:v>
      </x:c>
      <x:c r="C46" s="11" t="str">
        <x:v>小红书</x:v>
      </x:c>
      <x:c r="D46" s="20" t="d">
        <x:v>2026-10-02T12:00:00.000Z</x:v>
      </x:c>
      <x:c r="E46" s="11" t="str">
        <x:v>巴厘岛宝格丽参加会员婚礼</x:v>
      </x:c>
      <x:c r="F46" s="14" t="n">
        <x:v>19</x:v>
      </x:c>
      <x:c r="G46" s="14"/>
      <x:c r="H46" s="14" t="n">
        <x:v>3</x:v>
      </x:c>
      <x:c r="I46" s="14" t="n">
        <x:v>2</x:v>
      </x:c>
      <x:c r="J46" s="12" t="str">
        <x:v>打开原文</x:v>
      </x:c>
    </x:row>
    <x:row r="47" ht="15" hidden="0" customHeight="1">
      <x:c r="A47" s="10" t="str">
        <x:v>大超说媒</x:v>
      </x:c>
      <x:c r="B47" s="10" t="str">
        <x:v>大超说媒</x:v>
      </x:c>
      <x:c r="C47" s="10" t="str">
        <x:v>小红书</x:v>
      </x:c>
      <x:c r="D47" s="21" t="d">
        <x:v>2026-10-01T12:00:00.000Z</x:v>
      </x:c>
      <x:c r="E47" s="10" t="str">
        <x:v>流水席相亲局~这场费用全部捐掉</x:v>
      </x:c>
      <x:c r="F47" s="15" t="n">
        <x:v>36</x:v>
      </x:c>
      <x:c r="G47" s="15" t="n">
        <x:v>7</x:v>
      </x:c>
      <x:c r="H47" s="15" t="n">
        <x:v>3</x:v>
      </x:c>
      <x:c r="I47" s="15" t="n">
        <x:v>7</x:v>
      </x:c>
      <x:c r="J47" s="13" t="str">
        <x:v>打开原文</x:v>
      </x:c>
    </x:row>
    <x:row r="48" ht="15" hidden="0" customHeight="1">
      <x:c r="A48" s="11" t="str">
        <x:v>大超说媒</x:v>
      </x:c>
      <x:c r="B48" s="11" t="str">
        <x:v>大超说媒</x:v>
      </x:c>
      <x:c r="C48" s="11" t="str">
        <x:v>小红书</x:v>
      </x:c>
      <x:c r="D48" s="20" t="d">
        <x:v>2026-10-01T12:00:00.000Z</x:v>
      </x:c>
      <x:c r="E48" s="11" t="str">
        <x:v>关爱自闭症儿童公益活动</x:v>
      </x:c>
      <x:c r="F48" s="14" t="n">
        <x:v>26</x:v>
      </x:c>
      <x:c r="G48" s="14" t="n">
        <x:v>2</x:v>
      </x:c>
      <x:c r="H48" s="14" t="n">
        <x:v>7</x:v>
      </x:c>
      <x:c r="I48" s="14" t="n">
        <x:v>3</x:v>
      </x:c>
      <x:c r="J48" s="12" t="str">
        <x:v>打开原文</x:v>
      </x:c>
    </x:row>
    <x:row r="49" ht="15" hidden="0" customHeight="1">
      <x:c r="A49" s="10" t="str">
        <x:v>大超说媒</x:v>
      </x:c>
      <x:c r="B49" s="10" t="str">
        <x:v>大超说媒</x:v>
      </x:c>
      <x:c r="C49" s="10" t="str">
        <x:v>小红书</x:v>
      </x:c>
      <x:c r="D49" s="21" t="d">
        <x:v>2026-09-30T12:00:00.000Z</x:v>
      </x:c>
      <x:c r="E49" s="10" t="str">
        <x:v>收到喜糖</x:v>
      </x:c>
      <x:c r="F49" s="15" t="n">
        <x:v>13</x:v>
      </x:c>
      <x:c r="G49" s="15"/>
      <x:c r="H49" s="15" t="n">
        <x:v>1</x:v>
      </x:c>
      <x:c r="I49" s="15"/>
      <x:c r="J49" s="13" t="str">
        <x:v>打开原文</x:v>
      </x:c>
    </x:row>
    <x:row r="50" ht="15" hidden="0" customHeight="1">
      <x:c r="A50" s="11" t="str">
        <x:v>大超说媒</x:v>
      </x:c>
      <x:c r="B50" s="11" t="str">
        <x:v>大超说媒</x:v>
      </x:c>
      <x:c r="C50" s="11" t="str">
        <x:v>小红书</x:v>
      </x:c>
      <x:c r="D50" s="20" t="d">
        <x:v>2026-09-27T12:00:00.000Z</x:v>
      </x:c>
      <x:c r="E50" s="11" t="str">
        <x:v>巴厘岛之旅结束</x:v>
      </x:c>
      <x:c r="F50" s="14" t="n">
        <x:v>24</x:v>
      </x:c>
      <x:c r="G50" s="14" t="n">
        <x:v>3</x:v>
      </x:c>
      <x:c r="H50" s="14"/>
      <x:c r="I50" s="14"/>
      <x:c r="J50" s="12" t="str">
        <x:v>打开原文</x:v>
      </x:c>
    </x:row>
    <x:row r="51" ht="15" hidden="0" customHeight="1">
      <x:c r="A51" s="10" t="str">
        <x:v>大超说媒</x:v>
      </x:c>
      <x:c r="B51" s="10" t="str">
        <x:v>大超说媒</x:v>
      </x:c>
      <x:c r="C51" s="10" t="str">
        <x:v>小红书</x:v>
      </x:c>
      <x:c r="D51" s="21" t="d">
        <x:v>2026-09-22T12:00:00.000Z</x:v>
      </x:c>
      <x:c r="E51" s="10" t="str">
        <x:v>北京十一400人相亲角</x:v>
      </x:c>
      <x:c r="F51" s="15" t="n">
        <x:v>20</x:v>
      </x:c>
      <x:c r="G51" s="15" t="n">
        <x:v>1</x:v>
      </x:c>
      <x:c r="H51" s="15" t="n">
        <x:v>9</x:v>
      </x:c>
      <x:c r="I51" s="15" t="n">
        <x:v>5</x:v>
      </x:c>
      <x:c r="J51" s="13" t="str">
        <x:v>打开原文</x:v>
      </x:c>
    </x:row>
    <x:row r="52" ht="15" hidden="0" customHeight="1">
      <x:c r="A52" s="11" t="str">
        <x:v>HIMMR</x:v>
      </x:c>
      <x:c r="B52" s="11" t="str">
        <x:v>陌上花开HIMMR</x:v>
      </x:c>
      <x:c r="C52" s="11" t="str">
        <x:v>小红书</x:v>
      </x:c>
      <x:c r="D52" s="20" t="d">
        <x:v>2026-10-21T12:00:00.000Z</x:v>
      </x:c>
      <x:c r="E52" s="11" t="str">
        <x:v>湾区男生脱单难，圣诞回国相亲前先看</x:v>
      </x:c>
      <x:c r="F52" s="14" t="n">
        <x:v>10</x:v>
      </x:c>
      <x:c r="G52" s="14"/>
      <x:c r="H52" s="14" t="n">
        <x:v>8</x:v>
      </x:c>
      <x:c r="I52" s="14" t="n">
        <x:v>6</x:v>
      </x:c>
      <x:c r="J52" s="12" t="str">
        <x:v>打开原文</x:v>
      </x:c>
    </x:row>
    <x:row r="53" ht="15" hidden="0" customHeight="1">
      <x:c r="A53" s="10" t="str">
        <x:v>HIMMR</x:v>
      </x:c>
      <x:c r="B53" s="10" t="str">
        <x:v>陌上花开HIMMR</x:v>
      </x:c>
      <x:c r="C53" s="10" t="str">
        <x:v>小红书</x:v>
      </x:c>
      <x:c r="D53" s="21" t="d">
        <x:v>2026-08-24T12:00:00.000Z</x:v>
      </x:c>
      <x:c r="E53" s="10" t="str">
        <x:v>我的求学轨迹</x:v>
      </x:c>
      <x:c r="F53" s="15" t="n">
        <x:v>5</x:v>
      </x:c>
      <x:c r="G53" s="15"/>
      <x:c r="H53" s="15" t="n">
        <x:v>2</x:v>
      </x:c>
      <x:c r="I53" s="15" t="n">
        <x:v>1</x:v>
      </x:c>
      <x:c r="J53" s="13" t="str">
        <x:v>打开原文</x:v>
      </x:c>
    </x:row>
    <x:row r="54" ht="15" hidden="0" customHeight="1">
      <x:c r="A54" s="11" t="str">
        <x:v>HIMMR</x:v>
      </x:c>
      <x:c r="B54" s="11" t="str">
        <x:v>乐乐学姐优质脱单·陌上花开HIMMR</x:v>
      </x:c>
      <x:c r="C54" s="11" t="str">
        <x:v>小红书</x:v>
      </x:c>
      <x:c r="D54" s="20" t="d">
        <x:v>2026-09-25T12:00:00.000Z</x:v>
      </x:c>
      <x:c r="E54" s="11" t="str">
        <x:v>相亲对象和自己年收入差距太大会怎么样</x:v>
      </x:c>
      <x:c r="F54" s="14" t="n">
        <x:v>3</x:v>
      </x:c>
      <x:c r="G54" s="14"/>
      <x:c r="H54" s="14"/>
      <x:c r="I54" s="14" t="n">
        <x:v>1</x:v>
      </x:c>
      <x:c r="J54" s="12" t="str">
        <x:v>打开原文</x:v>
      </x:c>
    </x:row>
    <x:row r="55" ht="15" hidden="0" customHeight="1">
      <x:c r="A55" s="10" t="str">
        <x:v>HIMMR</x:v>
      </x:c>
      <x:c r="B55" s="10" t="str">
        <x:v>乐乐学姐优质脱单·陌上花开HIMMR</x:v>
      </x:c>
      <x:c r="C55" s="10" t="str">
        <x:v>小红书</x:v>
      </x:c>
      <x:c r="D55" s="21" t="d">
        <x:v>2026-09-18T12:00:00.000Z</x:v>
      </x:c>
      <x:c r="E55" s="10" t="str">
        <x:v>现在相亲这么现实吗？</x:v>
      </x:c>
      <x:c r="F55" s="15" t="n">
        <x:v>6</x:v>
      </x:c>
      <x:c r="G55" s="15"/>
      <x:c r="H55" s="15" t="n">
        <x:v>2</x:v>
      </x:c>
      <x:c r="I55" s="15" t="n">
        <x:v>3</x:v>
      </x:c>
      <x:c r="J55" s="13" t="str">
        <x:v>打开原文</x:v>
      </x:c>
    </x:row>
    <x:row r="56" ht="15" hidden="0" customHeight="1">
      <x:c r="A56" s="11" t="str">
        <x:v>HIMMR</x:v>
      </x:c>
      <x:c r="B56" s="11" t="str">
        <x:v>乐乐学姐优质脱单·陌上花开HIMMR</x:v>
      </x:c>
      <x:c r="C56" s="11" t="str">
        <x:v>小红书</x:v>
      </x:c>
      <x:c r="D56" s="20" t="d">
        <x:v>2026-09-14T12:00:00.000Z</x:v>
      </x:c>
      <x:c r="E56" s="11" t="str">
        <x:v>后悔！相亲千万不要让单身闺蜜把关</x:v>
      </x:c>
      <x:c r="F56" s="14" t="n">
        <x:v>4</x:v>
      </x:c>
      <x:c r="G56" s="14"/>
      <x:c r="H56" s="14" t="n">
        <x:v>2</x:v>
      </x:c>
      <x:c r="I56" s="14" t="n">
        <x:v>2</x:v>
      </x:c>
      <x:c r="J56" s="12" t="str">
        <x:v>打开原文</x:v>
      </x:c>
    </x:row>
    <x:row r="57" ht="15" hidden="0" customHeight="1">
      <x:c r="A57" s="10" t="str">
        <x:v>HIMMR</x:v>
      </x:c>
      <x:c r="B57" s="10" t="str">
        <x:v>乐乐学姐优质脱单·陌上花开HIMMR</x:v>
      </x:c>
      <x:c r="C57" s="10" t="str">
        <x:v>小红书</x:v>
      </x:c>
      <x:c r="D57" s="21" t="d">
        <x:v>2026-09-09T12:00:00.000Z</x:v>
      </x:c>
      <x:c r="E57" s="10" t="str">
        <x:v>明明很合适，但是不敢确认关系</x:v>
      </x:c>
      <x:c r="F57" s="15" t="n">
        <x:v>5</x:v>
      </x:c>
      <x:c r="G57" s="15" t="n">
        <x:v>1</x:v>
      </x:c>
      <x:c r="H57" s="15" t="n">
        <x:v>4</x:v>
      </x:c>
      <x:c r="I57" s="15" t="n">
        <x:v>4</x:v>
      </x:c>
      <x:c r="J57" s="13" t="str">
        <x:v>打开原文</x:v>
      </x:c>
    </x:row>
    <x:row r="58" ht="15" hidden="0" customHeight="1">
      <x:c r="A58" s="11" t="str">
        <x:v>HIMMR</x:v>
      </x:c>
      <x:c r="B58" s="11" t="str">
        <x:v>乐乐学姐优质脱单·陌上花开HIMMR</x:v>
      </x:c>
      <x:c r="C58" s="11" t="str">
        <x:v>小红书</x:v>
      </x:c>
      <x:c r="D58" s="20" t="d">
        <x:v>2026-09-04T12:00:00.000Z</x:v>
      </x:c>
      <x:c r="E58" s="11" t="str">
        <x:v>我发现了找对象的顶级思路</x:v>
      </x:c>
      <x:c r="F58" s="14" t="n">
        <x:v>18</x:v>
      </x:c>
      <x:c r="G58" s="14" t="n">
        <x:v>1</x:v>
      </x:c>
      <x:c r="H58" s="14" t="n">
        <x:v>17</x:v>
      </x:c>
      <x:c r="I58" s="14" t="n">
        <x:v>1</x:v>
      </x:c>
      <x:c r="J58" s="12" t="str">
        <x:v>打开原文</x:v>
      </x:c>
    </x:row>
    <x:row r="59" ht="15" hidden="0" customHeight="1">
      <x:c r="A59" s="10" t="str">
        <x:v>HIMMR</x:v>
      </x:c>
      <x:c r="B59" s="10" t="str">
        <x:v>乐乐学姐优质脱单·陌上花开HIMMR</x:v>
      </x:c>
      <x:c r="C59" s="10" t="str">
        <x:v>小红书</x:v>
      </x:c>
      <x:c r="D59" s="21" t="d">
        <x:v>2026-08-28T12:00:00.000Z</x:v>
      </x:c>
      <x:c r="E59" s="10" t="str">
        <x:v>高学历女生为啥难脱单？</x:v>
      </x:c>
      <x:c r="F59" s="15" t="n">
        <x:v>17</x:v>
      </x:c>
      <x:c r="G59" s="15" t="n">
        <x:v>2</x:v>
      </x:c>
      <x:c r="H59" s="15" t="n">
        <x:v>10</x:v>
      </x:c>
      <x:c r="I59" s="15" t="n">
        <x:v>6</x:v>
      </x:c>
      <x:c r="J59" s="13" t="str">
        <x:v>打开原文</x:v>
      </x:c>
    </x:row>
    <x:row r="60" ht="15" hidden="0" customHeight="1">
      <x:c r="A60" s="11" t="str">
        <x:v>HIMMR</x:v>
      </x:c>
      <x:c r="B60" s="11" t="str">
        <x:v>乐乐学姐优质脱单·陌上花开HIMMR</x:v>
      </x:c>
      <x:c r="C60" s="11" t="str">
        <x:v>小红书</x:v>
      </x:c>
      <x:c r="D60" s="20" t="d">
        <x:v>2026-08-23T12:00:00.000Z</x:v>
      </x:c>
      <x:c r="E60" s="11" t="str">
        <x:v>【真相拆解】为什么找不到女朋友</x:v>
      </x:c>
      <x:c r="F60" s="14" t="n">
        <x:v>9</x:v>
      </x:c>
      <x:c r="G60" s="14"/>
      <x:c r="H60" s="14" t="n">
        <x:v>7</x:v>
      </x:c>
      <x:c r="I60" s="14" t="n">
        <x:v>1</x:v>
      </x:c>
      <x:c r="J60" s="12" t="str">
        <x:v>打开原文</x:v>
      </x:c>
    </x:row>
    <x:row r="61" ht="15" hidden="0" customHeight="1">
      <x:c r="A61" s="10" t="str">
        <x:v>HIMMR</x:v>
      </x:c>
      <x:c r="B61" s="10" t="str">
        <x:v>乐乐学姐优质脱单·陌上花开HIMMR</x:v>
      </x:c>
      <x:c r="C61" s="10" t="str">
        <x:v>小红书</x:v>
      </x:c>
      <x:c r="D61" s="21" t="d">
        <x:v>2026-08-14T12:00:00.000Z</x:v>
      </x:c>
      <x:c r="E61" s="10" t="str">
        <x:v>任何人在找对象时，必须要了解的一个概念</x:v>
      </x:c>
      <x:c r="F61" s="15" t="n">
        <x:v>18</x:v>
      </x:c>
      <x:c r="G61" s="15" t="n">
        <x:v>1</x:v>
      </x:c>
      <x:c r="H61" s="15" t="n">
        <x:v>14</x:v>
      </x:c>
      <x:c r="I61" s="15" t="n">
        <x:v>14</x:v>
      </x:c>
      <x:c r="J61" s="13" t="str">
        <x:v>打开原文</x:v>
      </x:c>
    </x:row>
    <x:row r="62" ht="15" hidden="0" customHeight="1">
      <x:c r="A62" s="11" t="str">
        <x:v>HIMMR</x:v>
      </x:c>
      <x:c r="B62" s="11" t="str">
        <x:v>乐乐学姐优质脱单·陌上花开HIMMR</x:v>
      </x:c>
      <x:c r="C62" s="11" t="str">
        <x:v>小红书</x:v>
      </x:c>
      <x:c r="D62" s="20" t="d">
        <x:v>2026-08-08T12:00:00.000Z</x:v>
      </x:c>
      <x:c r="E62" s="11" t="str">
        <x:v>条件好但是异地恋要放弃吗？</x:v>
      </x:c>
      <x:c r="F62" s="14" t="n">
        <x:v>6</x:v>
      </x:c>
      <x:c r="G62" s="14"/>
      <x:c r="H62" s="14" t="n">
        <x:v>1</x:v>
      </x:c>
      <x:c r="I62" s="14" t="n">
        <x:v>1</x:v>
      </x:c>
      <x:c r="J62" s="12" t="str">
        <x:v>打开原文</x:v>
      </x:c>
    </x:row>
    <x:row r="63" ht="15" hidden="0" customHeight="1">
      <x:c r="A63" s="10" t="str">
        <x:v>HIMMR</x:v>
      </x:c>
      <x:c r="B63" s="10" t="str">
        <x:v>乐乐学姐优质脱单·陌上花开HIMMR</x:v>
      </x:c>
      <x:c r="C63" s="10" t="str">
        <x:v>小红书</x:v>
      </x:c>
      <x:c r="D63" s="21" t="d">
        <x:v>2026-08-07T12:00:00.000Z</x:v>
      </x:c>
      <x:c r="E63" s="10" t="str">
        <x:v>清华毕业/ENFP在上海工作的一天</x:v>
      </x:c>
      <x:c r="F63" s="15" t="n">
        <x:v>8</x:v>
      </x:c>
      <x:c r="G63" s="15"/>
      <x:c r="H63" s="15" t="n">
        <x:v>4</x:v>
      </x:c>
      <x:c r="I63" s="15" t="n">
        <x:v>1</x:v>
      </x:c>
      <x:c r="J63" s="13" t="str">
        <x:v>打开原文</x:v>
      </x:c>
    </x:row>
    <x:row r="64" ht="15" hidden="0" customHeight="1">
      <x:c r="A64" s="11" t="str">
        <x:v>HIMMR</x:v>
      </x:c>
      <x:c r="B64" s="11" t="str">
        <x:v>乐乐学姐优质脱单·陌上花开HIMMR</x:v>
      </x:c>
      <x:c r="C64" s="11" t="str">
        <x:v>小红书</x:v>
      </x:c>
      <x:c r="D64" s="20" t="d">
        <x:v>2026-07-31T12:00:00.000Z</x:v>
      </x:c>
      <x:c r="E64" s="11" t="str">
        <x:v>择偶想顺利，关键就这1个问题</x:v>
      </x:c>
      <x:c r="F64" s="14" t="n">
        <x:v>17</x:v>
      </x:c>
      <x:c r="G64" s="14" t="n">
        <x:v>1</x:v>
      </x:c>
      <x:c r="H64" s="14" t="n">
        <x:v>7</x:v>
      </x:c>
      <x:c r="I64" s="14" t="n">
        <x:v>1</x:v>
      </x:c>
      <x:c r="J64" s="12" t="str">
        <x:v>打开原文</x:v>
      </x:c>
    </x:row>
    <x:row r="65" ht="15" hidden="0" customHeight="1">
      <x:c r="A65" s="10" t="str">
        <x:v>大超说媒</x:v>
      </x:c>
      <x:c r="B65" s="10" t="str">
        <x:v>03</x:v>
      </x:c>
      <x:c r="C65" s="10" t="str">
        <x:v>抖音</x:v>
      </x:c>
      <x:c r="D65" s="21" t="d">
        <x:v>2026-10-18T12:00:00.000Z</x:v>
      </x:c>
      <x:c r="E65" s="10" t="str">
        <x:v>活动现场</x:v>
      </x:c>
      <x:c r="F65" s="15" t="n">
        <x:v>329</x:v>
      </x:c>
      <x:c r="G65" s="15" t="n">
        <x:v>8</x:v>
      </x:c>
      <x:c r="H65" s="15" t="n">
        <x:v>34</x:v>
      </x:c>
      <x:c r="I65" s="15" t="n">
        <x:v>30</x:v>
      </x:c>
      <x:c r="J65" s="13" t="str">
        <x:v>打开原文</x:v>
      </x:c>
    </x:row>
    <x:row r="66" ht="15" hidden="0" customHeight="1">
      <x:c r="A66" s="11" t="str">
        <x:v>大超说媒</x:v>
      </x:c>
      <x:c r="B66" s="11" t="str">
        <x:v>03</x:v>
      </x:c>
      <x:c r="C66" s="11" t="str">
        <x:v>抖音</x:v>
      </x:c>
      <x:c r="D66" s="20" t="d">
        <x:v>2026-10-02T12:00:00.000Z</x:v>
      </x:c>
      <x:c r="E66" s="11" t="str">
        <x:v>深圳招募</x:v>
      </x:c>
      <x:c r="F66" s="14" t="n">
        <x:v>3820</x:v>
      </x:c>
      <x:c r="G66" s="14" t="n">
        <x:v>559</x:v>
      </x:c>
      <x:c r="H66" s="14" t="n">
        <x:v>591</x:v>
      </x:c>
      <x:c r="I66" s="14" t="n">
        <x:v>6639</x:v>
      </x:c>
      <x:c r="J66" s="12" t="str">
        <x:v>打开原文</x:v>
      </x:c>
    </x:row>
    <x:row r="67" ht="15" hidden="0" customHeight="1">
      <x:c r="A67" s="10" t="str">
        <x:v>大超说媒</x:v>
      </x:c>
      <x:c r="B67" s="10" t="str">
        <x:v>03</x:v>
      </x:c>
      <x:c r="C67" s="10" t="str">
        <x:v>抖音</x:v>
      </x:c>
      <x:c r="D67" s="21" t="d">
        <x:v>2026-10-22T12:00:00.000Z</x:v>
      </x:c>
      <x:c r="E67" s="10" t="str">
        <x:v>真诚与择偶</x:v>
      </x:c>
      <x:c r="F67" s="15" t="n">
        <x:v>336</x:v>
      </x:c>
      <x:c r="G67" s="15" t="n">
        <x:v>18</x:v>
      </x:c>
      <x:c r="H67" s="15" t="n">
        <x:v>94</x:v>
      </x:c>
      <x:c r="I67" s="15" t="n">
        <x:v>37</x:v>
      </x:c>
      <x:c r="J67" s="13" t="str">
        <x:v>打开原文</x:v>
      </x:c>
    </x:row>
    <x:row r="68" ht="15" hidden="0" customHeight="1">
      <x:c r="A68" s="11" t="str">
        <x:v>大超说媒</x:v>
      </x:c>
      <x:c r="B68" s="11" t="str">
        <x:v>03</x:v>
      </x:c>
      <x:c r="C68" s="11" t="str">
        <x:v>抖音</x:v>
      </x:c>
      <x:c r="D68" s="20" t="d">
        <x:v>2026-10-21T12:00:00.000Z</x:v>
      </x:c>
      <x:c r="E68" s="11" t="str">
        <x:v>少女感议题</x:v>
      </x:c>
      <x:c r="F68" s="14" t="n">
        <x:v>2953</x:v>
      </x:c>
      <x:c r="G68" s="14" t="n">
        <x:v>749</x:v>
      </x:c>
      <x:c r="H68" s="14" t="n">
        <x:v>734</x:v>
      </x:c>
      <x:c r="I68" s="14" t="n">
        <x:v>411</x:v>
      </x:c>
      <x:c r="J68" s="12" t="str">
        <x:v>打开原文</x:v>
      </x:c>
    </x:row>
    <x:row r="69" ht="15" hidden="0" customHeight="1">
      <x:c r="A69" s="10" t="str">
        <x:v>大超说媒</x:v>
      </x:c>
      <x:c r="B69" s="10" t="str">
        <x:v>03</x:v>
      </x:c>
      <x:c r="C69" s="10" t="str">
        <x:v>抖音</x:v>
      </x:c>
      <x:c r="D69" s="21" t="d">
        <x:v>2026-10-21T12:00:00.000Z</x:v>
      </x:c>
      <x:c r="E69" s="10" t="str">
        <x:v>内耗议题</x:v>
      </x:c>
      <x:c r="F69" s="15" t="n">
        <x:v>173</x:v>
      </x:c>
      <x:c r="G69" s="15" t="n">
        <x:v>7</x:v>
      </x:c>
      <x:c r="H69" s="15" t="n">
        <x:v>31</x:v>
      </x:c>
      <x:c r="I69" s="15" t="n">
        <x:v>23</x:v>
      </x:c>
      <x:c r="J69" s="13" t="str">
        <x:v>打开原文</x:v>
      </x:c>
    </x:row>
    <x:row r="70" ht="15" hidden="0" customHeight="1">
      <x:c r="A70" s="11" t="str">
        <x:v>大超说媒</x:v>
      </x:c>
      <x:c r="B70" s="11" t="str">
        <x:v>03</x:v>
      </x:c>
      <x:c r="C70" s="11" t="str">
        <x:v>抖音</x:v>
      </x:c>
      <x:c r="D70" s="20" t="d">
        <x:v>2026-10-19T12:00:00.000Z</x:v>
      </x:c>
      <x:c r="E70" s="11" t="str">
        <x:v>择偶要求</x:v>
      </x:c>
      <x:c r="F70" s="14" t="n">
        <x:v>3341</x:v>
      </x:c>
      <x:c r="G70" s="14" t="n">
        <x:v>844</x:v>
      </x:c>
      <x:c r="H70" s="14" t="n">
        <x:v>895</x:v>
      </x:c>
      <x:c r="I70" s="14" t="n">
        <x:v>733</x:v>
      </x:c>
      <x:c r="J70" s="12" t="str">
        <x:v>打开原文</x:v>
      </x:c>
    </x:row>
    <x:row r="71" ht="15" hidden="0" customHeight="1">
      <x:c r="A71" s="10" t="str">
        <x:v>大超说媒</x:v>
      </x:c>
      <x:c r="B71" s="10" t="str">
        <x:v>03</x:v>
      </x:c>
      <x:c r="C71" s="10" t="str">
        <x:v>抖音</x:v>
      </x:c>
      <x:c r="D71" s="21" t="d">
        <x:v>2026-10-18T12:00:00.000Z</x:v>
      </x:c>
      <x:c r="E71" s="10" t="str">
        <x:v>资产与择偶议题</x:v>
      </x:c>
      <x:c r="F71" s="15" t="n">
        <x:v>2959</x:v>
      </x:c>
      <x:c r="G71" s="15" t="n">
        <x:v>449</x:v>
      </x:c>
      <x:c r="H71" s="15" t="n">
        <x:v>433</x:v>
      </x:c>
      <x:c r="I71" s="15" t="n">
        <x:v>435</x:v>
      </x:c>
      <x:c r="J71" s="13" t="str">
        <x:v>打开原文</x:v>
      </x:c>
    </x:row>
    <x:row r="72" ht="15" hidden="0" customHeight="1">
      <x:c r="A72" s="11" t="str">
        <x:v>大超说媒</x:v>
      </x:c>
      <x:c r="B72" s="11" t="str">
        <x:v>03</x:v>
      </x:c>
      <x:c r="C72" s="11" t="str">
        <x:v>抖音</x:v>
      </x:c>
      <x:c r="D72" s="20" t="d">
        <x:v>2026-10-17T12:00:00.000Z</x:v>
      </x:c>
      <x:c r="E72" s="11" t="str">
        <x:v>清北择偶议题</x:v>
      </x:c>
      <x:c r="F72" s="14" t="n">
        <x:v>1645</x:v>
      </x:c>
      <x:c r="G72" s="14" t="n">
        <x:v>272</x:v>
      </x:c>
      <x:c r="H72" s="14" t="n">
        <x:v>226</x:v>
      </x:c>
      <x:c r="I72" s="14" t="n">
        <x:v>67</x:v>
      </x:c>
      <x:c r="J72" s="12" t="str">
        <x:v>打开原文</x:v>
      </x:c>
    </x:row>
    <x:row r="73" ht="15" hidden="0" customHeight="1">
      <x:c r="A73" s="10" t="str">
        <x:v>大超说媒</x:v>
      </x:c>
      <x:c r="B73" s="10" t="str">
        <x:v>03</x:v>
      </x:c>
      <x:c r="C73" s="10" t="str">
        <x:v>抖音</x:v>
      </x:c>
      <x:c r="D73" s="21" t="d">
        <x:v>2026-10-16T12:00:00.000Z</x:v>
      </x:c>
      <x:c r="E73" s="10" t="str">
        <x:v>委屈议题</x:v>
      </x:c>
      <x:c r="F73" s="15" t="n">
        <x:v>6872</x:v>
      </x:c>
      <x:c r="G73" s="15" t="n">
        <x:v>2983</x:v>
      </x:c>
      <x:c r="H73" s="15" t="n">
        <x:v>1790</x:v>
      </x:c>
      <x:c r="I73" s="15" t="n">
        <x:v>1566</x:v>
      </x:c>
      <x:c r="J73" s="13" t="str">
        <x:v>打开原文</x:v>
      </x:c>
    </x:row>
    <x:row r="74" ht="15" hidden="0" customHeight="1">
      <x:c r="A74" s="11" t="str">
        <x:v>大超说媒</x:v>
      </x:c>
      <x:c r="B74" s="11" t="str">
        <x:v>03</x:v>
      </x:c>
      <x:c r="C74" s="11" t="str">
        <x:v>抖音</x:v>
      </x:c>
      <x:c r="D74" s="20" t="d">
        <x:v>2026-10-12T12:00:00.000Z</x:v>
      </x:c>
      <x:c r="E74" s="11" t="str">
        <x:v>香港生活话题</x:v>
      </x:c>
      <x:c r="F74" s="14" t="n">
        <x:v>2252</x:v>
      </x:c>
      <x:c r="G74" s="14" t="n">
        <x:v>498</x:v>
      </x:c>
      <x:c r="H74" s="14" t="n">
        <x:v>152</x:v>
      </x:c>
      <x:c r="I74" s="14" t="n">
        <x:v>68</x:v>
      </x:c>
      <x:c r="J74" s="12" t="str">
        <x:v>打开原文</x:v>
      </x:c>
    </x:row>
    <x:row r="75" ht="15" hidden="0" customHeight="1">
      <x:c r="A75" s="10" t="str">
        <x:v>大超说媒</x:v>
      </x:c>
      <x:c r="B75" s="10" t="str">
        <x:v>03</x:v>
      </x:c>
      <x:c r="C75" s="10" t="str">
        <x:v>抖音</x:v>
      </x:c>
      <x:c r="D75" s="21" t="d">
        <x:v>2026-10-12T12:00:00.000Z</x:v>
      </x:c>
      <x:c r="E75" s="10" t="str">
        <x:v>个人观点</x:v>
      </x:c>
      <x:c r="F75" s="15" t="n">
        <x:v>3312</x:v>
      </x:c>
      <x:c r="G75" s="15" t="n">
        <x:v>1518</x:v>
      </x:c>
      <x:c r="H75" s="15" t="n">
        <x:v>190</x:v>
      </x:c>
      <x:c r="I75" s="15" t="n">
        <x:v>201</x:v>
      </x:c>
      <x:c r="J75" s="13" t="str">
        <x:v>打开原文</x:v>
      </x:c>
    </x:row>
    <x:row r="76" ht="15" hidden="0" customHeight="1">
      <x:c r="A76" s="11" t="str">
        <x:v>大超说媒</x:v>
      </x:c>
      <x:c r="B76" s="11" t="str">
        <x:v>03</x:v>
      </x:c>
      <x:c r="C76" s="11" t="str">
        <x:v>抖音</x:v>
      </x:c>
      <x:c r="D76" s="20" t="d">
        <x:v>2026-10-12T12:00:00.000Z</x:v>
      </x:c>
      <x:c r="E76" s="11" t="str">
        <x:v>饮食社交争议</x:v>
      </x:c>
      <x:c r="F76" s="14" t="n">
        <x:v>2892</x:v>
      </x:c>
      <x:c r="G76" s="14" t="n">
        <x:v>8881</x:v>
      </x:c>
      <x:c r="H76" s="14" t="n">
        <x:v>255</x:v>
      </x:c>
      <x:c r="I76" s="14" t="n">
        <x:v>605</x:v>
      </x:c>
      <x:c r="J76" s="12" t="str">
        <x:v>打开原文</x:v>
      </x:c>
    </x:row>
    <x:row r="77" ht="15" hidden="0" customHeight="1">
      <x:c r="A77" s="10" t="str">
        <x:v>大超说媒</x:v>
      </x:c>
      <x:c r="B77" s="10" t="str">
        <x:v>05</x:v>
      </x:c>
      <x:c r="C77" s="10" t="str">
        <x:v>抖音</x:v>
      </x:c>
      <x:c r="D77" s="21" t="d">
        <x:v>2026-09-30T12:00:00.000Z</x:v>
      </x:c>
      <x:c r="E77" s="10" t="str">
        <x:v>清晰画像</x:v>
      </x:c>
      <x:c r="F77" s="15" t="n">
        <x:v>832</x:v>
      </x:c>
      <x:c r="G77" s="15" t="n">
        <x:v>71</x:v>
      </x:c>
      <x:c r="H77" s="15" t="n">
        <x:v>283</x:v>
      </x:c>
      <x:c r="I77" s="15" t="n">
        <x:v>107</x:v>
      </x:c>
      <x:c r="J77" s="13" t="str">
        <x:v>打开原文</x:v>
      </x:c>
    </x:row>
    <x:row r="78" ht="15" hidden="0" customHeight="1">
      <x:c r="A78" s="11" t="str">
        <x:v>大超说媒</x:v>
      </x:c>
      <x:c r="B78" s="11" t="str">
        <x:v>05</x:v>
      </x:c>
      <x:c r="C78" s="11" t="str">
        <x:v>抖音</x:v>
      </x:c>
      <x:c r="D78" s="20" t="d">
        <x:v>2026-09-27T12:00:00.000Z</x:v>
      </x:c>
      <x:c r="E78" s="11" t="str">
        <x:v>北京假期招募</x:v>
      </x:c>
      <x:c r="F78" s="14" t="n">
        <x:v>73</x:v>
      </x:c>
      <x:c r="G78" s="14" t="n">
        <x:v>3</x:v>
      </x:c>
      <x:c r="H78" s="14" t="n">
        <x:v>3</x:v>
      </x:c>
      <x:c r="I78" s="14" t="n">
        <x:v>6</x:v>
      </x:c>
      <x:c r="J78" s="12" t="str">
        <x:v>打开原文</x:v>
      </x:c>
    </x:row>
  </x:sheetData>
  <x:hyperlinks>
    <x:hyperlink xmlns:r="http://schemas.openxmlformats.org/officeDocument/2006/relationships" ref="J6" r:id="rIdResearch1"/>
    <x:hyperlink xmlns:r="http://schemas.openxmlformats.org/officeDocument/2006/relationships" ref="J7" r:id="rIdResearch2"/>
    <x:hyperlink xmlns:r="http://schemas.openxmlformats.org/officeDocument/2006/relationships" ref="J8" r:id="rIdResearch3"/>
    <x:hyperlink xmlns:r="http://schemas.openxmlformats.org/officeDocument/2006/relationships" ref="J9" r:id="rIdResearch4"/>
    <x:hyperlink xmlns:r="http://schemas.openxmlformats.org/officeDocument/2006/relationships" ref="J10" r:id="rIdResearch5"/>
    <x:hyperlink xmlns:r="http://schemas.openxmlformats.org/officeDocument/2006/relationships" ref="J11" r:id="rIdResearch6"/>
    <x:hyperlink xmlns:r="http://schemas.openxmlformats.org/officeDocument/2006/relationships" ref="J12" r:id="rIdResearch7"/>
    <x:hyperlink xmlns:r="http://schemas.openxmlformats.org/officeDocument/2006/relationships" ref="J13" r:id="rIdResearch8"/>
    <x:hyperlink xmlns:r="http://schemas.openxmlformats.org/officeDocument/2006/relationships" ref="J14" r:id="rIdResearch9"/>
    <x:hyperlink xmlns:r="http://schemas.openxmlformats.org/officeDocument/2006/relationships" ref="J15" r:id="rIdResearch10"/>
    <x:hyperlink xmlns:r="http://schemas.openxmlformats.org/officeDocument/2006/relationships" ref="J16" r:id="rIdResearch11"/>
    <x:hyperlink xmlns:r="http://schemas.openxmlformats.org/officeDocument/2006/relationships" ref="J17" r:id="rIdResearch12"/>
    <x:hyperlink xmlns:r="http://schemas.openxmlformats.org/officeDocument/2006/relationships" ref="J18" r:id="rIdResearch13"/>
    <x:hyperlink xmlns:r="http://schemas.openxmlformats.org/officeDocument/2006/relationships" ref="J19" r:id="rIdResearch14"/>
    <x:hyperlink xmlns:r="http://schemas.openxmlformats.org/officeDocument/2006/relationships" ref="J20" r:id="rIdResearch15"/>
    <x:hyperlink xmlns:r="http://schemas.openxmlformats.org/officeDocument/2006/relationships" ref="J21" r:id="rIdResearch16"/>
    <x:hyperlink xmlns:r="http://schemas.openxmlformats.org/officeDocument/2006/relationships" ref="J22" r:id="rIdResearch17"/>
    <x:hyperlink xmlns:r="http://schemas.openxmlformats.org/officeDocument/2006/relationships" ref="J23" r:id="rIdResearch18"/>
    <x:hyperlink xmlns:r="http://schemas.openxmlformats.org/officeDocument/2006/relationships" ref="J24" r:id="rIdResearch19"/>
    <x:hyperlink xmlns:r="http://schemas.openxmlformats.org/officeDocument/2006/relationships" ref="J25" r:id="rIdResearch20"/>
    <x:hyperlink xmlns:r="http://schemas.openxmlformats.org/officeDocument/2006/relationships" ref="J26" r:id="rIdResearch21"/>
    <x:hyperlink xmlns:r="http://schemas.openxmlformats.org/officeDocument/2006/relationships" ref="J27" r:id="rIdResearch22"/>
    <x:hyperlink xmlns:r="http://schemas.openxmlformats.org/officeDocument/2006/relationships" ref="J28" r:id="rIdResearch23"/>
    <x:hyperlink xmlns:r="http://schemas.openxmlformats.org/officeDocument/2006/relationships" ref="J29" r:id="rIdResearch24"/>
    <x:hyperlink xmlns:r="http://schemas.openxmlformats.org/officeDocument/2006/relationships" ref="J30" r:id="rIdResearch25"/>
    <x:hyperlink xmlns:r="http://schemas.openxmlformats.org/officeDocument/2006/relationships" ref="J31" r:id="rIdResearch26"/>
    <x:hyperlink xmlns:r="http://schemas.openxmlformats.org/officeDocument/2006/relationships" ref="J32" r:id="rIdResearch27"/>
    <x:hyperlink xmlns:r="http://schemas.openxmlformats.org/officeDocument/2006/relationships" ref="J33" r:id="rIdResearch28"/>
    <x:hyperlink xmlns:r="http://schemas.openxmlformats.org/officeDocument/2006/relationships" ref="J34" r:id="rIdResearch29"/>
    <x:hyperlink xmlns:r="http://schemas.openxmlformats.org/officeDocument/2006/relationships" ref="J35" r:id="rIdResearch30"/>
    <x:hyperlink xmlns:r="http://schemas.openxmlformats.org/officeDocument/2006/relationships" ref="J36" r:id="rIdResearch31"/>
    <x:hyperlink xmlns:r="http://schemas.openxmlformats.org/officeDocument/2006/relationships" ref="J37" r:id="rIdResearch32"/>
    <x:hyperlink xmlns:r="http://schemas.openxmlformats.org/officeDocument/2006/relationships" ref="J38" r:id="rIdResearch33"/>
    <x:hyperlink xmlns:r="http://schemas.openxmlformats.org/officeDocument/2006/relationships" ref="J39" r:id="rIdResearch34"/>
    <x:hyperlink xmlns:r="http://schemas.openxmlformats.org/officeDocument/2006/relationships" ref="J40" r:id="rIdResearch35"/>
    <x:hyperlink xmlns:r="http://schemas.openxmlformats.org/officeDocument/2006/relationships" ref="J41" r:id="rIdResearch36"/>
    <x:hyperlink xmlns:r="http://schemas.openxmlformats.org/officeDocument/2006/relationships" ref="J42" r:id="rIdResearch37"/>
    <x:hyperlink xmlns:r="http://schemas.openxmlformats.org/officeDocument/2006/relationships" ref="J43" r:id="rIdResearch38"/>
    <x:hyperlink xmlns:r="http://schemas.openxmlformats.org/officeDocument/2006/relationships" ref="J44" r:id="rIdResearch39"/>
    <x:hyperlink xmlns:r="http://schemas.openxmlformats.org/officeDocument/2006/relationships" ref="J45" r:id="rIdResearch40"/>
    <x:hyperlink xmlns:r="http://schemas.openxmlformats.org/officeDocument/2006/relationships" ref="J46" r:id="rIdResearch41"/>
    <x:hyperlink xmlns:r="http://schemas.openxmlformats.org/officeDocument/2006/relationships" ref="J47" r:id="rIdResearch42"/>
    <x:hyperlink xmlns:r="http://schemas.openxmlformats.org/officeDocument/2006/relationships" ref="J48" r:id="rIdResearch43"/>
    <x:hyperlink xmlns:r="http://schemas.openxmlformats.org/officeDocument/2006/relationships" ref="J49" r:id="rIdResearch44"/>
    <x:hyperlink xmlns:r="http://schemas.openxmlformats.org/officeDocument/2006/relationships" ref="J50" r:id="rIdResearch45"/>
    <x:hyperlink xmlns:r="http://schemas.openxmlformats.org/officeDocument/2006/relationships" ref="J51" r:id="rIdResearch46"/>
    <x:hyperlink xmlns:r="http://schemas.openxmlformats.org/officeDocument/2006/relationships" ref="J52" r:id="rIdResearch47"/>
    <x:hyperlink xmlns:r="http://schemas.openxmlformats.org/officeDocument/2006/relationships" ref="J53" r:id="rIdResearch48"/>
    <x:hyperlink xmlns:r="http://schemas.openxmlformats.org/officeDocument/2006/relationships" ref="J54" r:id="rIdResearch49"/>
    <x:hyperlink xmlns:r="http://schemas.openxmlformats.org/officeDocument/2006/relationships" ref="J55" r:id="rIdResearch50"/>
    <x:hyperlink xmlns:r="http://schemas.openxmlformats.org/officeDocument/2006/relationships" ref="J56" r:id="rIdResearch51"/>
    <x:hyperlink xmlns:r="http://schemas.openxmlformats.org/officeDocument/2006/relationships" ref="J57" r:id="rIdResearch52"/>
    <x:hyperlink xmlns:r="http://schemas.openxmlformats.org/officeDocument/2006/relationships" ref="J58" r:id="rIdResearch53"/>
    <x:hyperlink xmlns:r="http://schemas.openxmlformats.org/officeDocument/2006/relationships" ref="J59" r:id="rIdResearch54"/>
    <x:hyperlink xmlns:r="http://schemas.openxmlformats.org/officeDocument/2006/relationships" ref="J60" r:id="rIdResearch55"/>
    <x:hyperlink xmlns:r="http://schemas.openxmlformats.org/officeDocument/2006/relationships" ref="J61" r:id="rIdResearch56"/>
    <x:hyperlink xmlns:r="http://schemas.openxmlformats.org/officeDocument/2006/relationships" ref="J62" r:id="rIdResearch57"/>
    <x:hyperlink xmlns:r="http://schemas.openxmlformats.org/officeDocument/2006/relationships" ref="J63" r:id="rIdResearch58"/>
    <x:hyperlink xmlns:r="http://schemas.openxmlformats.org/officeDocument/2006/relationships" ref="J64" r:id="rIdResearch59"/>
    <x:hyperlink xmlns:r="http://schemas.openxmlformats.org/officeDocument/2006/relationships" ref="J65" r:id="rIdResearch60"/>
    <x:hyperlink xmlns:r="http://schemas.openxmlformats.org/officeDocument/2006/relationships" ref="J66" r:id="rIdResearch61"/>
    <x:hyperlink xmlns:r="http://schemas.openxmlformats.org/officeDocument/2006/relationships" ref="J67" r:id="rIdResearch62"/>
    <x:hyperlink xmlns:r="http://schemas.openxmlformats.org/officeDocument/2006/relationships" ref="J68" r:id="rIdResearch63"/>
    <x:hyperlink xmlns:r="http://schemas.openxmlformats.org/officeDocument/2006/relationships" ref="J69" r:id="rIdResearch64"/>
    <x:hyperlink xmlns:r="http://schemas.openxmlformats.org/officeDocument/2006/relationships" ref="J70" r:id="rIdResearch65"/>
    <x:hyperlink xmlns:r="http://schemas.openxmlformats.org/officeDocument/2006/relationships" ref="J71" r:id="rIdResearch66"/>
    <x:hyperlink xmlns:r="http://schemas.openxmlformats.org/officeDocument/2006/relationships" ref="J72" r:id="rIdResearch67"/>
    <x:hyperlink xmlns:r="http://schemas.openxmlformats.org/officeDocument/2006/relationships" ref="J73" r:id="rIdResearch68"/>
    <x:hyperlink xmlns:r="http://schemas.openxmlformats.org/officeDocument/2006/relationships" ref="J74" r:id="rIdResearch69"/>
    <x:hyperlink xmlns:r="http://schemas.openxmlformats.org/officeDocument/2006/relationships" ref="J75" r:id="rIdResearch70"/>
    <x:hyperlink xmlns:r="http://schemas.openxmlformats.org/officeDocument/2006/relationships" ref="J76" r:id="rIdResearch71"/>
    <x:hyperlink xmlns:r="http://schemas.openxmlformats.org/officeDocument/2006/relationships" ref="J77" r:id="rIdResearch72"/>
    <x:hyperlink xmlns:r="http://schemas.openxmlformats.org/officeDocument/2006/relationships" ref="J78" r:id="rIdResearch73"/>
  </x:hyperlinks>
  <x:pageMargins left="0.7" right="0.7" top="0.75" bottom="0.75" header="0.3" footer="0.3"/>
  <x:tableParts count="1">
    <x:tablePart xmlns:r="http://schemas.openxmlformats.org/officeDocument/2006/relationships" r:id="Redd0ec33806d404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3" hidden="0" customWidth="1"/>
    <x:col min="3" max="3" width="18" hidden="0" customWidth="1"/>
    <x:col min="4" max="4" width="58" hidden="0" customWidth="1"/>
    <x:col min="5" max="5" width="3" hidden="0" customWidth="1"/>
    <x:col min="6" max="6" width="24" hidden="0" customWidth="1"/>
    <x:col min="7" max="7" width="23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</x:row>
    <x:row r="2">
      <x:c r="A2" s="2" t="str">
        <x:v>会员规模和活动产能演示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1" t="str">
        <x:v>蓝色为可修改假设；每位贡献已扣直接交付和归因获客成本，不是售价或竞品实绩。</x:v>
      </x:c>
      <x:c r="B3" s="1"/>
      <x:c r="C3" s="1"/>
      <x:c r="D3" s="1"/>
      <x:c r="E3" s="1"/>
      <x:c r="F3" s="1"/>
      <x:c r="G3" s="1"/>
      <x:c r="H3" s="1"/>
      <x:c r="I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</x:row>
    <x:row r="5" ht="32" customHeight="1">
      <x:c r="A5" s="5" t="str">
        <x:v>输入参数</x:v>
      </x:c>
      <x:c r="B5" s="5" t="str">
        <x:v>数值</x:v>
      </x:c>
      <x:c r="C5" s="5" t="str">
        <x:v>单位</x:v>
      </x:c>
      <x:c r="D5" s="5" t="str">
        <x:v>含义</x:v>
      </x:c>
      <x:c r="E5" s="1"/>
      <x:c r="F5" s="1" t="str">
        <x:v>项目</x:v>
      </x:c>
      <x:c r="G5" s="1" t="str">
        <x:v>金额 元</x:v>
      </x:c>
      <x:c r="H5" s="1"/>
      <x:c r="I5" s="1"/>
    </x:row>
    <x:row r="6" ht="34" customHeight="1">
      <x:c r="A6" s="1" t="str">
        <x:v>年度固定成本</x:v>
      </x:c>
      <x:c r="B6" s="24" t="n">
        <x:v>1800000</x:v>
      </x:c>
      <x:c r="C6" s="1" t="str">
        <x:v>元</x:v>
      </x:c>
      <x:c r="D6" s="1" t="str">
        <x:v>演示参数</x:v>
      </x:c>
      <x:c r="E6" s="1"/>
      <x:c r="F6" s="1" t="str">
        <x:v>会员年度贡献</x:v>
      </x:c>
      <x:c r="G6" s="28" t="n">
        <x:f>IF(AND(ISNUMBER(B7),ISNUMBER(B8),B7&gt;0,B8&gt;=0),B7*B8,NA())</x:f>
        <x:v>1200000</x:v>
      </x:c>
      <x:c r="H6" s="1"/>
      <x:c r="I6" s="1"/>
    </x:row>
    <x:row r="7" ht="34" customHeight="1">
      <x:c r="A7" s="1" t="str">
        <x:v>每位年度贡献</x:v>
      </x:c>
      <x:c r="B7" s="24" t="n">
        <x:v>20000</x:v>
      </x:c>
      <x:c r="C7" s="1" t="str">
        <x:v>元每人</x:v>
      </x:c>
      <x:c r="D7" s="1" t="str">
        <x:v>扣直接交付与归因获客成本</x:v>
      </x:c>
      <x:c r="E7" s="1"/>
      <x:c r="F7" s="1" t="str">
        <x:v>固定成本</x:v>
      </x:c>
      <x:c r="G7" s="28" t="n">
        <x:f>IF(AND(ISNUMBER(B6),B6&gt;=0),B6,NA())</x:f>
        <x:v>1800000</x:v>
      </x:c>
      <x:c r="H7" s="1"/>
      <x:c r="I7" s="1"/>
    </x:row>
    <x:row r="8" ht="34" customHeight="1">
      <x:c r="A8" s="1" t="str">
        <x:v>会员人数</x:v>
      </x:c>
      <x:c r="B8" s="24" t="n">
        <x:v>60</x:v>
      </x:c>
      <x:c r="C8" s="1" t="str">
        <x:v>人</x:v>
      </x:c>
      <x:c r="D8" s="1" t="str">
        <x:v>服务容量演示</x:v>
      </x:c>
      <x:c r="E8" s="1"/>
      <x:c r="F8" s="1"/>
      <x:c r="G8" s="1"/>
      <x:c r="H8" s="1"/>
      <x:c r="I8" s="1"/>
    </x:row>
    <x:row r="9" ht="34" customHeight="1">
      <x:c r="A9" s="1" t="str">
        <x:v>每组人数</x:v>
      </x:c>
      <x:c r="B9" s="24" t="n">
        <x:v>10</x:v>
      </x:c>
      <x:c r="C9" s="1" t="str">
        <x:v>人</x:v>
      </x:c>
      <x:c r="D9" s="1" t="str">
        <x:v>固定小组</x:v>
      </x:c>
      <x:c r="E9" s="1"/>
      <x:c r="F9" s="1"/>
      <x:c r="G9" s="1"/>
      <x:c r="H9" s="1"/>
      <x:c r="I9" s="1"/>
    </x:row>
    <x:row r="10" ht="34" customHeight="1">
      <x:c r="A10" s="1" t="str">
        <x:v>每组全年次数</x:v>
      </x:c>
      <x:c r="B10" s="24" t="n">
        <x:v>10</x:v>
      </x:c>
      <x:c r="C10" s="1" t="str">
        <x:v>次</x:v>
      </x:c>
      <x:c r="D10" s="1" t="str">
        <x:v>每组年度安排</x:v>
      </x:c>
      <x:c r="E10" s="1"/>
      <x:c r="F10" s="1"/>
      <x:c r="G10" s="1"/>
      <x:c r="H10" s="1"/>
      <x:c r="I10" s="1"/>
    </x:row>
    <x:row r="11" ht="34" customHeight="1">
      <x:c r="A11" s="1" t="str">
        <x:v>每人开放活动名额</x:v>
      </x:c>
      <x:c r="B11" s="24" t="n">
        <x:v>6</x:v>
      </x:c>
      <x:c r="C11" s="1" t="str">
        <x:v>席每年</x:v>
      </x:c>
      <x:c r="D11" s="1" t="str">
        <x:v>额外开放活动权益</x:v>
      </x:c>
      <x:c r="E11" s="1"/>
      <x:c r="F11" s="1"/>
      <x:c r="G11" s="1"/>
      <x:c r="H11" s="1"/>
      <x:c r="I11" s="1"/>
    </x:row>
    <x:row r="12" ht="34" customHeight="1">
      <x:c r="A12" s="1" t="str">
        <x:v>每场开放活动座位</x:v>
      </x:c>
      <x:c r="B12" s="24" t="n">
        <x:v>20</x:v>
      </x:c>
      <x:c r="C12" s="1" t="str">
        <x:v>席</x:v>
      </x:c>
      <x:c r="D12" s="1" t="str">
        <x:v>开放活动容量</x:v>
      </x:c>
      <x:c r="E12" s="1"/>
      <x:c r="F12" s="1"/>
      <x:c r="G12" s="1"/>
      <x:c r="H12" s="1"/>
      <x:c r="I12" s="1"/>
    </x:row>
    <x:row r="13" ht="34" customHeight="1">
      <x:c r="A13" s="1"/>
      <x:c r="B13" s="25"/>
      <x:c r="C13" s="1"/>
      <x:c r="D13" s="1"/>
      <x:c r="E13" s="1"/>
      <x:c r="F13" s="1"/>
      <x:c r="G13" s="1"/>
      <x:c r="H13" s="1"/>
      <x:c r="I13" s="1"/>
    </x:row>
    <x:row r="14" ht="34" customHeight="1">
      <x:c r="A14" s="5" t="str">
        <x:v>计算结果</x:v>
      </x:c>
      <x:c r="B14" s="26"/>
      <x:c r="C14" s="5" t="str">
        <x:v>单位</x:v>
      </x:c>
      <x:c r="D14" s="5" t="str">
        <x:v>计算逻辑</x:v>
      </x:c>
      <x:c r="E14" s="1"/>
      <x:c r="F14" s="1"/>
      <x:c r="G14" s="1"/>
      <x:c r="H14" s="1"/>
      <x:c r="I14" s="1"/>
    </x:row>
    <x:row r="15" ht="34" customHeight="1">
      <x:c r="A15" s="1" t="str">
        <x:v>盈亏平衡会员数</x:v>
      </x:c>
      <x:c r="B15" s="27" t="n">
        <x:f>IF(AND(ISNUMBER(B6),ISNUMBER(B7),B6&gt;=0,B7&gt;0),ROUNDUP(B6/B7,0),"请补成本与正贡献")</x:f>
        <x:v>90</x:v>
      </x:c>
      <x:c r="C15" s="1" t="str">
        <x:v>人</x:v>
      </x:c>
      <x:c r="D15" s="1" t="str">
        <x:v>固定成本除以单位贡献，向上取整</x:v>
      </x:c>
      <x:c r="E15" s="1"/>
      <x:c r="F15" s="1"/>
      <x:c r="G15" s="1"/>
      <x:c r="H15" s="1"/>
      <x:c r="I15" s="1"/>
    </x:row>
    <x:row r="16" ht="34" customHeight="1">
      <x:c r="A16" s="1" t="str">
        <x:v>固定组数量</x:v>
      </x:c>
      <x:c r="B16" s="27" t="n">
        <x:f>IF(AND(ISNUMBER(B8),ISNUMBER(B9),B8&gt;=0,B9&gt;0),ROUNDUP(B8/B9,0),"请补人数与组容量")</x:f>
        <x:v>6</x:v>
      </x:c>
      <x:c r="C16" s="1" t="str">
        <x:v>组</x:v>
      </x:c>
      <x:c r="D16" s="1" t="str">
        <x:v>会员数除以组人数，向上取整</x:v>
      </x:c>
      <x:c r="E16" s="1"/>
      <x:c r="F16" s="1"/>
      <x:c r="G16" s="1"/>
      <x:c r="H16" s="1"/>
      <x:c r="I16" s="1"/>
    </x:row>
    <x:row r="17" ht="34" customHeight="1">
      <x:c r="A17" s="1" t="str">
        <x:v>固定组全年场次</x:v>
      </x:c>
      <x:c r="B17" s="27" t="n">
        <x:f>IF(AND(ISNUMBER(B16),ISNUMBER(B10),B10&gt;=0),B16*B10,"请补组活动次数")</x:f>
        <x:v>60</x:v>
      </x:c>
      <x:c r="C17" s="1" t="str">
        <x:v>场</x:v>
      </x:c>
      <x:c r="D17" s="1" t="str">
        <x:v>组数乘以每组全年次数</x:v>
      </x:c>
      <x:c r="E17" s="1"/>
      <x:c r="F17" s="1"/>
      <x:c r="G17" s="1"/>
      <x:c r="H17" s="1"/>
      <x:c r="I17" s="1"/>
    </x:row>
    <x:row r="18" ht="34" customHeight="1">
      <x:c r="A18" s="1" t="str">
        <x:v>开放活动全年场次</x:v>
      </x:c>
      <x:c r="B18" s="27" t="n">
        <x:f>IF(AND(ISNUMBER(B8),ISNUMBER(B11),ISNUMBER(B12),B8&gt;=0,B11&gt;=0,B12&gt;0),ROUNDUP(B8*B11/B12,0),"请补开放活动参数")</x:f>
        <x:v>18</x:v>
      </x:c>
      <x:c r="C18" s="1" t="str">
        <x:v>场</x:v>
      </x:c>
      <x:c r="D18" s="1" t="str">
        <x:v>总名额除以单场容量，向上取整</x:v>
      </x:c>
      <x:c r="E18" s="1"/>
      <x:c r="F18" s="1"/>
      <x:c r="G18" s="1"/>
      <x:c r="H18" s="1"/>
      <x:c r="I18" s="1"/>
    </x:row>
    <x:row r="19" ht="34" customHeight="1">
      <x:c r="A19" s="1" t="str">
        <x:v>全年合计活动场次</x:v>
      </x:c>
      <x:c r="B19" s="27" t="n">
        <x:f>IF(AND(ISNUMBER(B17),ISNUMBER(B18)),B17+B18,"请补交付参数")</x:f>
        <x:v>78</x:v>
      </x:c>
      <x:c r="C19" s="1" t="str">
        <x:v>场</x:v>
      </x:c>
      <x:c r="D19" s="1" t="str">
        <x:v>固定组与开放活动相加</x:v>
      </x:c>
      <x:c r="E19" s="1"/>
      <x:c r="F19" s="1"/>
      <x:c r="G19" s="1"/>
      <x:c r="H19" s="1"/>
      <x:c r="I19" s="1"/>
    </x:row>
    <x:row r="20" ht="34" customHeight="1">
      <x:c r="A20" s="1" t="str">
        <x:v>年度经营结余</x:v>
      </x:c>
      <x:c r="B20" s="27" t="n">
        <x:f>IF(AND(ISNUMBER(B6),ISNUMBER(B7),ISNUMBER(B8),B6&gt;=0,B7&gt;0,B8&gt;=0),B8*B7-B6,"请补经营参数")</x:f>
        <x:v>-600000</x:v>
      </x:c>
      <x:c r="C20" s="1" t="str">
        <x:v>元</x:v>
      </x:c>
      <x:c r="D20" s="1" t="str">
        <x:v>会员人数乘单位贡献，减固定成本</x:v>
      </x:c>
      <x:c r="E20" s="1"/>
      <x:c r="F20" s="1"/>
      <x:c r="G20" s="1"/>
      <x:c r="H20" s="1"/>
      <x:c r="I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</x:row>
    <x:row r="23">
      <x:c r="A23" s="1" t="str">
        <x:v>来源：本项目容量演示假设。按全部权益使用估计，不含尚未设定的私人匹配和旅行工时。</x:v>
      </x:c>
      <x:c r="B23" s="1"/>
      <x:c r="C23" s="1"/>
      <x:c r="D23" s="1"/>
      <x:c r="E23" s="1"/>
      <x:c r="F23" s="1"/>
      <x:c r="G23" s="1"/>
      <x:c r="H23" s="1"/>
      <x:c r="I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</x:row>
  </x:sheetData>
  <x:pageMargins left="0.7" right="0.7" top="0.75" bottom="0.75" header="0.3" footer="0.3"/>
  <x:drawing xmlns:r="http://schemas.openxmlformats.org/officeDocument/2006/relationships" r:id="R17c3710689174324"/>
</x:worksheet>
</file>